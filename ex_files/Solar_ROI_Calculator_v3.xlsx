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CAI\"/>
    </mc:Choice>
  </mc:AlternateContent>
  <xr:revisionPtr revIDLastSave="0" documentId="13_ncr:1_{E53181ED-F537-45CA-B445-B0B32D4F5FC5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สมมติฐาน" sheetId="1" r:id="rId1"/>
    <sheet name="กระแสเงินสด" sheetId="2" r:id="rId2"/>
    <sheet name="Sensitivity" sheetId="3" r:id="rId3"/>
    <sheet name="สรุปแนะนำ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4" l="1"/>
  <c r="B4" i="4"/>
  <c r="I33" i="2"/>
  <c r="B33" i="2"/>
  <c r="B33" i="1"/>
  <c r="P23" i="2" s="1"/>
  <c r="B32" i="1"/>
  <c r="B25" i="2" s="1"/>
  <c r="I26" i="2" l="1"/>
  <c r="B20" i="2"/>
  <c r="B7" i="2"/>
  <c r="I7" i="2"/>
  <c r="I8" i="2"/>
  <c r="B13" i="2"/>
  <c r="I27" i="2"/>
  <c r="I19" i="2"/>
  <c r="I20" i="2"/>
  <c r="I24" i="2"/>
  <c r="B11" i="2"/>
  <c r="I13" i="2"/>
  <c r="B28" i="2"/>
  <c r="B21" i="2"/>
  <c r="B26" i="2"/>
  <c r="B14" i="2"/>
  <c r="I23" i="2"/>
  <c r="B27" i="2"/>
  <c r="I14" i="2"/>
  <c r="B5" i="2"/>
  <c r="I6" i="2"/>
  <c r="B8" i="2"/>
  <c r="B17" i="2"/>
  <c r="I25" i="2"/>
  <c r="B18" i="2"/>
  <c r="P11" i="2"/>
  <c r="P22" i="2"/>
  <c r="P12" i="2"/>
  <c r="P24" i="2"/>
  <c r="P14" i="2"/>
  <c r="P16" i="2"/>
  <c r="P6" i="2"/>
  <c r="B35" i="1"/>
  <c r="C17" i="3" s="1"/>
  <c r="P28" i="2"/>
  <c r="P19" i="2"/>
  <c r="P8" i="2"/>
  <c r="P20" i="2"/>
  <c r="D8" i="4"/>
  <c r="B15" i="2"/>
  <c r="I21" i="2"/>
  <c r="I28" i="2"/>
  <c r="B9" i="2"/>
  <c r="I15" i="2"/>
  <c r="B22" i="2"/>
  <c r="I9" i="2"/>
  <c r="B16" i="2"/>
  <c r="I22" i="2"/>
  <c r="B29" i="2"/>
  <c r="B10" i="2"/>
  <c r="I16" i="2"/>
  <c r="I29" i="2"/>
  <c r="I10" i="2"/>
  <c r="B23" i="2"/>
  <c r="I11" i="2"/>
  <c r="I17" i="2"/>
  <c r="B24" i="2"/>
  <c r="I5" i="2"/>
  <c r="B12" i="2"/>
  <c r="I18" i="2"/>
  <c r="B5" i="4"/>
  <c r="B6" i="2"/>
  <c r="I12" i="2"/>
  <c r="B19" i="2"/>
  <c r="E25" i="2"/>
  <c r="F25" i="2" s="1"/>
  <c r="D5" i="3"/>
  <c r="H9" i="3"/>
  <c r="P5" i="2"/>
  <c r="P13" i="2"/>
  <c r="P21" i="2"/>
  <c r="P29" i="2"/>
  <c r="C7" i="2"/>
  <c r="C23" i="2"/>
  <c r="E24" i="2"/>
  <c r="F24" i="2" s="1"/>
  <c r="F5" i="3"/>
  <c r="C5" i="4"/>
  <c r="P27" i="2"/>
  <c r="P10" i="2"/>
  <c r="P18" i="2"/>
  <c r="P26" i="2"/>
  <c r="C20" i="2"/>
  <c r="E21" i="2"/>
  <c r="F21" i="2" s="1"/>
  <c r="J23" i="2"/>
  <c r="L24" i="2"/>
  <c r="M24" i="2" s="1"/>
  <c r="C28" i="2"/>
  <c r="P9" i="2"/>
  <c r="P17" i="2"/>
  <c r="P25" i="2"/>
  <c r="B34" i="1"/>
  <c r="E17" i="2" s="1"/>
  <c r="F17" i="2" s="1"/>
  <c r="C11" i="2"/>
  <c r="E12" i="2"/>
  <c r="F12" i="2" s="1"/>
  <c r="C19" i="2"/>
  <c r="P7" i="2"/>
  <c r="P15" i="2"/>
  <c r="C9" i="2"/>
  <c r="E10" i="2"/>
  <c r="F10" i="2" s="1"/>
  <c r="C17" i="2"/>
  <c r="L5" i="2" l="1"/>
  <c r="L7" i="2"/>
  <c r="M7" i="2" s="1"/>
  <c r="E19" i="3"/>
  <c r="J6" i="2"/>
  <c r="F7" i="3"/>
  <c r="B20" i="3"/>
  <c r="J18" i="2"/>
  <c r="L13" i="2"/>
  <c r="M13" i="2" s="1"/>
  <c r="L15" i="2"/>
  <c r="M15" i="2" s="1"/>
  <c r="J12" i="2"/>
  <c r="J14" i="2"/>
  <c r="H11" i="3"/>
  <c r="C21" i="3"/>
  <c r="J27" i="2"/>
  <c r="F9" i="3"/>
  <c r="H18" i="3"/>
  <c r="D7" i="3"/>
  <c r="F16" i="3"/>
  <c r="B5" i="3"/>
  <c r="B9" i="3"/>
  <c r="F18" i="3"/>
  <c r="L29" i="2"/>
  <c r="M29" i="2" s="1"/>
  <c r="C27" i="2"/>
  <c r="D16" i="3"/>
  <c r="J28" i="2"/>
  <c r="L23" i="2"/>
  <c r="M23" i="2" s="1"/>
  <c r="B11" i="3"/>
  <c r="C25" i="2"/>
  <c r="J22" i="2"/>
  <c r="G8" i="3"/>
  <c r="E18" i="2"/>
  <c r="F18" i="2" s="1"/>
  <c r="E20" i="2"/>
  <c r="F20" i="2" s="1"/>
  <c r="E29" i="2"/>
  <c r="F29" i="2" s="1"/>
  <c r="E16" i="2"/>
  <c r="F16" i="2" s="1"/>
  <c r="E6" i="3"/>
  <c r="G17" i="3"/>
  <c r="C15" i="3"/>
  <c r="L19" i="2"/>
  <c r="M19" i="2" s="1"/>
  <c r="L28" i="2"/>
  <c r="M28" i="2" s="1"/>
  <c r="E13" i="2"/>
  <c r="F13" i="2" s="1"/>
  <c r="C15" i="2"/>
  <c r="C24" i="2"/>
  <c r="J7" i="2"/>
  <c r="L11" i="2"/>
  <c r="M11" i="2" s="1"/>
  <c r="E5" i="2"/>
  <c r="F5" i="2" s="1"/>
  <c r="J10" i="2"/>
  <c r="E8" i="2"/>
  <c r="F8" i="2" s="1"/>
  <c r="M5" i="2"/>
  <c r="L20" i="2"/>
  <c r="M20" i="2" s="1"/>
  <c r="J19" i="2"/>
  <c r="E15" i="3"/>
  <c r="H21" i="3"/>
  <c r="F19" i="3"/>
  <c r="D17" i="3"/>
  <c r="D27" i="3" s="1"/>
  <c r="B15" i="3"/>
  <c r="G9" i="3"/>
  <c r="E7" i="3"/>
  <c r="C5" i="3"/>
  <c r="K28" i="2"/>
  <c r="D25" i="2"/>
  <c r="K20" i="2"/>
  <c r="D17" i="2"/>
  <c r="K12" i="2"/>
  <c r="D9" i="2"/>
  <c r="B43" i="1"/>
  <c r="L6" i="2"/>
  <c r="M6" i="2" s="1"/>
  <c r="J5" i="2"/>
  <c r="B38" i="1"/>
  <c r="D21" i="3"/>
  <c r="B19" i="3"/>
  <c r="B29" i="3" s="1"/>
  <c r="G16" i="3"/>
  <c r="E11" i="3"/>
  <c r="C9" i="3"/>
  <c r="H6" i="3"/>
  <c r="D27" i="2"/>
  <c r="K22" i="2"/>
  <c r="D19" i="2"/>
  <c r="K14" i="2"/>
  <c r="D11" i="2"/>
  <c r="K6" i="2"/>
  <c r="L10" i="2"/>
  <c r="M10" i="2" s="1"/>
  <c r="J9" i="2"/>
  <c r="E7" i="2"/>
  <c r="F7" i="2" s="1"/>
  <c r="C6" i="2"/>
  <c r="C7" i="3"/>
  <c r="C27" i="3" s="1"/>
  <c r="K21" i="2"/>
  <c r="D18" i="2"/>
  <c r="K5" i="2"/>
  <c r="C19" i="3"/>
  <c r="C29" i="3" s="1"/>
  <c r="H16" i="3"/>
  <c r="H26" i="3" s="1"/>
  <c r="B7" i="3"/>
  <c r="J29" i="2"/>
  <c r="C26" i="2"/>
  <c r="F21" i="3"/>
  <c r="D19" i="3"/>
  <c r="B17" i="3"/>
  <c r="G11" i="3"/>
  <c r="E9" i="3"/>
  <c r="K29" i="2"/>
  <c r="D26" i="2"/>
  <c r="K13" i="2"/>
  <c r="D10" i="2"/>
  <c r="B39" i="1"/>
  <c r="B7" i="4" s="1"/>
  <c r="L14" i="2"/>
  <c r="M14" i="2" s="1"/>
  <c r="J13" i="2"/>
  <c r="E11" i="2"/>
  <c r="F11" i="2" s="1"/>
  <c r="C10" i="2"/>
  <c r="E21" i="3"/>
  <c r="F11" i="3"/>
  <c r="D9" i="3"/>
  <c r="E27" i="2"/>
  <c r="F27" i="2" s="1"/>
  <c r="L22" i="2"/>
  <c r="M22" i="2" s="1"/>
  <c r="J21" i="2"/>
  <c r="E19" i="2"/>
  <c r="F19" i="2" s="1"/>
  <c r="C18" i="2"/>
  <c r="B21" i="3"/>
  <c r="G18" i="3"/>
  <c r="E16" i="3"/>
  <c r="E26" i="3" s="1"/>
  <c r="C11" i="3"/>
  <c r="H8" i="3"/>
  <c r="F6" i="3"/>
  <c r="F26" i="3" s="1"/>
  <c r="D28" i="2"/>
  <c r="K23" i="2"/>
  <c r="D20" i="2"/>
  <c r="K15" i="2"/>
  <c r="D12" i="2"/>
  <c r="K7" i="2"/>
  <c r="L9" i="2"/>
  <c r="M9" i="2" s="1"/>
  <c r="J8" i="2"/>
  <c r="E6" i="2"/>
  <c r="F6" i="2" s="1"/>
  <c r="C5" i="2"/>
  <c r="L25" i="2"/>
  <c r="M25" i="2" s="1"/>
  <c r="J24" i="2"/>
  <c r="E22" i="2"/>
  <c r="F22" i="2" s="1"/>
  <c r="C21" i="2"/>
  <c r="G20" i="3"/>
  <c r="E18" i="3"/>
  <c r="C16" i="3"/>
  <c r="H10" i="3"/>
  <c r="F8" i="3"/>
  <c r="F28" i="3" s="1"/>
  <c r="D6" i="3"/>
  <c r="D26" i="3" s="1"/>
  <c r="D29" i="2"/>
  <c r="K24" i="2"/>
  <c r="D21" i="2"/>
  <c r="K16" i="2"/>
  <c r="D13" i="2"/>
  <c r="K8" i="2"/>
  <c r="D5" i="2"/>
  <c r="L17" i="2"/>
  <c r="M17" i="2" s="1"/>
  <c r="J16" i="2"/>
  <c r="E14" i="2"/>
  <c r="F14" i="2" s="1"/>
  <c r="C13" i="2"/>
  <c r="F20" i="3"/>
  <c r="D18" i="3"/>
  <c r="B16" i="3"/>
  <c r="G10" i="3"/>
  <c r="E8" i="3"/>
  <c r="C6" i="3"/>
  <c r="C29" i="2"/>
  <c r="E20" i="3"/>
  <c r="C18" i="3"/>
  <c r="H15" i="3"/>
  <c r="F10" i="3"/>
  <c r="D8" i="3"/>
  <c r="B6" i="3"/>
  <c r="K25" i="2"/>
  <c r="D22" i="2"/>
  <c r="K17" i="2"/>
  <c r="D14" i="2"/>
  <c r="K9" i="2"/>
  <c r="D6" i="2"/>
  <c r="L18" i="2"/>
  <c r="M18" i="2" s="1"/>
  <c r="J17" i="2"/>
  <c r="E15" i="2"/>
  <c r="F15" i="2" s="1"/>
  <c r="C14" i="2"/>
  <c r="D20" i="3"/>
  <c r="B18" i="3"/>
  <c r="G15" i="3"/>
  <c r="E10" i="3"/>
  <c r="C8" i="3"/>
  <c r="H5" i="3"/>
  <c r="L26" i="2"/>
  <c r="M26" i="2" s="1"/>
  <c r="J25" i="2"/>
  <c r="E23" i="2"/>
  <c r="F23" i="2" s="1"/>
  <c r="C22" i="2"/>
  <c r="C20" i="3"/>
  <c r="H17" i="3"/>
  <c r="F15" i="3"/>
  <c r="F25" i="3" s="1"/>
  <c r="D10" i="3"/>
  <c r="B8" i="3"/>
  <c r="G5" i="3"/>
  <c r="K26" i="2"/>
  <c r="D23" i="2"/>
  <c r="K18" i="2"/>
  <c r="D15" i="2"/>
  <c r="K10" i="2"/>
  <c r="D7" i="2"/>
  <c r="H19" i="3"/>
  <c r="H29" i="3" s="1"/>
  <c r="F17" i="3"/>
  <c r="F27" i="3" s="1"/>
  <c r="D15" i="3"/>
  <c r="D25" i="3" s="1"/>
  <c r="B10" i="3"/>
  <c r="B30" i="3" s="1"/>
  <c r="G7" i="3"/>
  <c r="G27" i="3" s="1"/>
  <c r="E5" i="3"/>
  <c r="K27" i="2"/>
  <c r="D24" i="2"/>
  <c r="K19" i="2"/>
  <c r="D16" i="2"/>
  <c r="K11" i="2"/>
  <c r="D8" i="2"/>
  <c r="E9" i="2"/>
  <c r="F9" i="2" s="1"/>
  <c r="C8" i="2"/>
  <c r="L16" i="2"/>
  <c r="M16" i="2" s="1"/>
  <c r="C10" i="3"/>
  <c r="C16" i="2"/>
  <c r="E26" i="2"/>
  <c r="F26" i="2" s="1"/>
  <c r="D11" i="3"/>
  <c r="J15" i="2"/>
  <c r="H7" i="3"/>
  <c r="L12" i="2"/>
  <c r="M12" i="2" s="1"/>
  <c r="P34" i="2"/>
  <c r="Q5" i="2"/>
  <c r="Q6" i="2" s="1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J11" i="2"/>
  <c r="L21" i="2"/>
  <c r="M21" i="2" s="1"/>
  <c r="G6" i="3"/>
  <c r="C12" i="2"/>
  <c r="L27" i="2"/>
  <c r="M27" i="2" s="1"/>
  <c r="G19" i="3"/>
  <c r="B40" i="1"/>
  <c r="J20" i="2"/>
  <c r="E28" i="2"/>
  <c r="F28" i="2" s="1"/>
  <c r="H20" i="3"/>
  <c r="L8" i="2"/>
  <c r="M8" i="2" s="1"/>
  <c r="J26" i="2"/>
  <c r="E17" i="3"/>
  <c r="E27" i="3" s="1"/>
  <c r="G21" i="3"/>
  <c r="G28" i="3" l="1"/>
  <c r="G29" i="3"/>
  <c r="H28" i="3"/>
  <c r="H31" i="3"/>
  <c r="E29" i="3"/>
  <c r="C31" i="3"/>
  <c r="B25" i="3"/>
  <c r="F29" i="3"/>
  <c r="B31" i="3"/>
  <c r="G31" i="3"/>
  <c r="C25" i="3"/>
  <c r="F30" i="3"/>
  <c r="E31" i="3"/>
  <c r="B28" i="3"/>
  <c r="G30" i="3"/>
  <c r="H30" i="3"/>
  <c r="G26" i="3"/>
  <c r="E30" i="3"/>
  <c r="E28" i="3"/>
  <c r="C28" i="3"/>
  <c r="B44" i="1"/>
  <c r="B46" i="1" s="1"/>
  <c r="B47" i="1" s="1"/>
  <c r="B48" i="1" s="1"/>
  <c r="B45" i="1"/>
  <c r="C7" i="4" s="1"/>
  <c r="E25" i="3"/>
  <c r="D30" i="3"/>
  <c r="B27" i="3"/>
  <c r="D29" i="3"/>
  <c r="F31" i="3"/>
  <c r="H27" i="3"/>
  <c r="B26" i="3"/>
  <c r="C30" i="3"/>
  <c r="D28" i="3"/>
  <c r="C26" i="3"/>
  <c r="I34" i="2"/>
  <c r="I35" i="2" s="1"/>
  <c r="I36" i="2"/>
  <c r="C9" i="4" s="1"/>
  <c r="I37" i="2"/>
  <c r="C10" i="4" s="1"/>
  <c r="N5" i="2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B34" i="2"/>
  <c r="B35" i="2" s="1"/>
  <c r="B37" i="2"/>
  <c r="B10" i="4" s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B36" i="2"/>
  <c r="B9" i="4" s="1"/>
  <c r="D31" i="3"/>
  <c r="B8" i="4"/>
  <c r="B6" i="4"/>
  <c r="G25" i="3"/>
  <c r="H25" i="3"/>
  <c r="C6" i="4" l="1"/>
  <c r="C8" i="4"/>
</calcChain>
</file>

<file path=xl/sharedStrings.xml><?xml version="1.0" encoding="utf-8"?>
<sst xmlns="http://schemas.openxmlformats.org/spreadsheetml/2006/main" count="138" uniqueCount="111">
  <si>
    <t>🌞  Solar ROI Calculator  —  กรอกเฉพาะเซลล์สีเหลือง  /  ผลคำนวณอัตโนมัติสีฟ้า</t>
  </si>
  <si>
    <t>A.  ระบบ Solar Panel</t>
  </si>
  <si>
    <t>ขนาดระบบ (kWp)</t>
  </si>
  <si>
    <t>kWp</t>
  </si>
  <si>
    <t>ราคาติดตั้ง Solar (ไม่รวมแบต)</t>
  </si>
  <si>
    <t>บาท</t>
  </si>
  <si>
    <t>Performance Ratio</t>
  </si>
  <si>
    <t>ทศนิยม  เช่น 0.80 = 80%</t>
  </si>
  <si>
    <t>Peak Sun Hours ต่อวัน</t>
  </si>
  <si>
    <t>ชม./วัน  (ไทยเฉลี่ย 4.0–5.0)</t>
  </si>
  <si>
    <t>อัตราเสื่อมของแผง (%/ปี)</t>
  </si>
  <si>
    <t>ทศนิยม  เช่น 0.005 = 0.5%/ปี</t>
  </si>
  <si>
    <t>อายุระบบ (ปี)</t>
  </si>
  <si>
    <t>ปี</t>
  </si>
  <si>
    <t>B.  แบตเตอรี่  (ใส่ 0 = ไม่มีแบต)</t>
  </si>
  <si>
    <t>ความจุแบต (kWh)</t>
  </si>
  <si>
    <t>kWh  (ใส่ 0 ถ้าไม่ต้องการแบต)</t>
  </si>
  <si>
    <t>ราคาแบต</t>
  </si>
  <si>
    <t>Depth of Discharge (DoD)</t>
  </si>
  <si>
    <t>ทศนิยม  ปกติ 0.80–0.90</t>
  </si>
  <si>
    <t>Round-trip Efficiency</t>
  </si>
  <si>
    <t>ทศนิยม  ปกติ 0.90–0.95</t>
  </si>
  <si>
    <t>อายุแบต (ปี)</t>
  </si>
  <si>
    <t>ปี  (LFP ~10–15 ปี)</t>
  </si>
  <si>
    <t>C.  รูปแบบการใช้ไฟ</t>
  </si>
  <si>
    <t>ใช้ไฟรวมต่อเดือน</t>
  </si>
  <si>
    <t>kWh/เดือน</t>
  </si>
  <si>
    <t>สัดส่วนใช้ไฟกลางวัน</t>
  </si>
  <si>
    <t>ทศนิยม  ช่วง ~08:00–17:00</t>
  </si>
  <si>
    <t>ราคาไฟซื้อจากการไฟฟ้า</t>
  </si>
  <si>
    <t>บาท/หน่วย</t>
  </si>
  <si>
    <t>อัตราขึ้นค่าไฟต่อปี</t>
  </si>
  <si>
    <t>ทศนิยม  เช่น 0.03 = 3%/ปี</t>
  </si>
  <si>
    <t>D.  Solar ภาคประชาชน — ราคารับซื้อ FiT</t>
  </si>
  <si>
    <t>ราคา FiT (ขายคืนรัฐ)</t>
  </si>
  <si>
    <t>บาท/หน่วย  (นโยบายปัจจุบัน 2.20 ฿)</t>
  </si>
  <si>
    <t>E.  การเงิน</t>
  </si>
  <si>
    <t>ค่าบำรุงรักษาต่อปี</t>
  </si>
  <si>
    <t>บาท/ปี</t>
  </si>
  <si>
    <t>Discount Rate</t>
  </si>
  <si>
    <t>ทศนิยม  สำหรับ NPV</t>
  </si>
  <si>
    <t>F.  Energy Flow/วัน  (คำนวณอัตโนมัติ — ห้ามแก้ไข)</t>
  </si>
  <si>
    <t>พลังงาน Solar ผลิต/วัน (kWh)</t>
  </si>
  <si>
    <t>kWh/วัน</t>
  </si>
  <si>
    <t>การใช้ไฟรวม/วัน</t>
  </si>
  <si>
    <t>ใช้ไฟกลางวัน/วัน</t>
  </si>
  <si>
    <t>ช่วง 08:00-17:00</t>
  </si>
  <si>
    <t>ใช้ไฟกลางคืน/วัน</t>
  </si>
  <si>
    <t xml:space="preserve">  กรณี 1: ไม่มีแบต — Energy Flow/วัน</t>
  </si>
  <si>
    <t xml:space="preserve">  ใช้เอง (Solar กลางวัน)/วัน</t>
  </si>
  <si>
    <t>← MIN(ผลิต, กลางวัน)</t>
  </si>
  <si>
    <t xml:space="preserve">  ขายคืน FiT/วัน</t>
  </si>
  <si>
    <t>← MAX(0, ผลิต − กลางวัน)  ไม่ติดลบ</t>
  </si>
  <si>
    <t xml:space="preserve">  ซื้อจากกริด/วัน</t>
  </si>
  <si>
    <t>← กลางคืน + MAX(0, กลางวัน − ผลิต)</t>
  </si>
  <si>
    <t xml:space="preserve">  กรณี 2: มีแบต — Energy Flow/วัน</t>
  </si>
  <si>
    <t xml:space="preserve">  ส่วนเกินหลังใช้กลางวัน/วัน</t>
  </si>
  <si>
    <t xml:space="preserve">  ชาร์จแบต/วัน</t>
  </si>
  <si>
    <t>← MIN(ส่วนเกิน, ความจุ×DoD)</t>
  </si>
  <si>
    <t>← MAX(0, ส่วนเกิน − ความจุแบต)  ไม่ติดลบ</t>
  </si>
  <si>
    <t xml:space="preserve">  แบตจ่ายกลางคืน/วัน</t>
  </si>
  <si>
    <t>← ชาร์จ × Round-trip Eff</t>
  </si>
  <si>
    <t xml:space="preserve">  ซื้อกริดกลางคืน/วัน</t>
  </si>
  <si>
    <t>← MAX(0, กลางคืน − แบตจ่าย)</t>
  </si>
  <si>
    <t xml:space="preserve">  ซื้อกริดรวม/วัน</t>
  </si>
  <si>
    <t>💡  Logic:  Solar ผลิต → ใช้กลางวันก่อน → ส่วนเกินชาร์จแบต (กรณี 2) หรือขายคืน FiT (กรณี 1)
     ถ้าผลิตไม่พอกลางวัน → ไม่มีขาย / ไม่มีชาร์จแบต  |  กลางคืนใช้แบต → ถ้าแบตไม่พอค่อยซื้อกริด
     ขายคืน FiT = MAX(0, ...) เสมอ  →  ค่าขายไม่มีทางติดลบ</t>
  </si>
  <si>
    <t>กระแสเงินสด 25 ปี  —  เปรียบเทียบ 3 กรณี</t>
  </si>
  <si>
    <t>กรณี 1: Solar ไม่มีแบต</t>
  </si>
  <si>
    <t>กรณี 2: Solar + แบต</t>
  </si>
  <si>
    <t>Baseline (ไม่ติด Solar)</t>
  </si>
  <si>
    <t>Solar
(kWh/ปี)</t>
  </si>
  <si>
    <t>ใช้เอง
(kWh)</t>
  </si>
  <si>
    <t>ขาย FiT
(kWh)</t>
  </si>
  <si>
    <t>ประหยัด
+FiT (฿)</t>
  </si>
  <si>
    <t>Net CF
ปีนั้น (฿)</t>
  </si>
  <si>
    <t>Cumulative
(฿)</t>
  </si>
  <si>
    <t>ค่าไฟ/ปี
(฿)</t>
  </si>
  <si>
    <t>Cum.ค่าไฟ
(฿)</t>
  </si>
  <si>
    <t>สรุป</t>
  </si>
  <si>
    <t>รายจ่ายรวม (ลงทุน+บำรุง) (฿)</t>
  </si>
  <si>
    <t>รายรับรวม 25 ปี (ประหยัด+FiT) (฿)</t>
  </si>
  <si>
    <t>กำไรสุทธิ 25 ปี (฿)</t>
  </si>
  <si>
    <t>Payback Period เบื้องต้น (ปี)</t>
  </si>
  <si>
    <t>-</t>
  </si>
  <si>
    <t>NPV 25 ปี (฿)</t>
  </si>
  <si>
    <t>Sensitivity Analysis — Payback Period (ปี)  |  🟢 &lt;8 ปี   🟡 8-12 ปี   🔴 &gt;12 ปี</t>
  </si>
  <si>
    <t xml:space="preserve">  กรณี 1: ไม่มีแบต  —  Payback Period (ปี)</t>
  </si>
  <si>
    <t>FiT ↓  /  ค่าไฟ →</t>
  </si>
  <si>
    <t xml:space="preserve">  กรณี 2: มีแบต  —  Payback Period (ปี)</t>
  </si>
  <si>
    <t xml:space="preserve">  ส่วนต่าง Payback: กรณี 2 − กรณี 1  (ปี)  |  สีแดง = แบตเพิ่ม Payback  |  สีเขียว = แบตลด Payback</t>
  </si>
  <si>
    <t>📖  อ่านผล:  ตาราง 1+2 = Payback ปีของแต่ละกรณี  (🟢 &lt;8  🟡 8-12  🔴 &gt;12)
     ตาราง 3 = ส่วนต่าง Payback (กรณี 2 − กรณี 1)  🟢 = แบตคุ้มค่า  🔴 = แบตเพิ่มภาระ
     แถว FiT=2.20 คือนโยบายปัจจุบัน  |  ค่าไฟ 4.50 คือค่าเริ่มต้นในสมมติฐาน</t>
  </si>
  <si>
    <t>สรุปเปรียบเทียบ 3 กรณี  +  แนวทางแนะนำลูกค้า</t>
  </si>
  <si>
    <t>รายการ</t>
  </si>
  <si>
    <t>กรณี 1
Solar (ไม่มีแบต)</t>
  </si>
  <si>
    <t>กรณี 2
Solar + แบต</t>
  </si>
  <si>
    <t>กรณี 3
ไม่ติด Solar</t>
  </si>
  <si>
    <t>หมายเหตุ</t>
  </si>
  <si>
    <t>เงินลงทุน (฿)</t>
  </si>
  <si>
    <t>0</t>
  </si>
  <si>
    <t>ต้นทุนเริ่มต้น</t>
  </si>
  <si>
    <t>ผลิตไฟได้ปีแรก (kWh/ปี)</t>
  </si>
  <si>
    <t>—</t>
  </si>
  <si>
    <t>ใช้เองได้ปีแรก (kWh/ปี)</t>
  </si>
  <si>
    <t>กรณี 2 รวมส่วนแบตจ่ายกลางคืน</t>
  </si>
  <si>
    <t>ขายคืน FiT ปีแรก (kWh/ปี)</t>
  </si>
  <si>
    <t>MAX(0,...) ไม่ติดลบ</t>
  </si>
  <si>
    <t>ประหยัด+FiT ปีแรก (฿/ปี)</t>
  </si>
  <si>
    <t>Payback Period (ปี)</t>
  </si>
  <si>
    <t>N/A</t>
  </si>
  <si>
    <t>จากชีตกระแสเงินสด</t>
  </si>
  <si>
    <t xml:space="preserve">🏆  แนวทางตัดสินใจ
✅  Solar ไม่มีแบต  →  คุ้มถ้าใช้ไฟกลางวัน ≥ 40% และค่าไฟ ≥ 4.00 ฿  (Payback ~5-8 ปี)
     FiT 2.20 ฿ &lt; ค่าไฟ → 'ใช้เองดีกว่าขาย' → ออกแบบ kWp ให้ Solar ≈ กลางวัน
✅  เพิ่มแบต  →  คุ้มถ้าใช้ไฟกลางวัน &lt; 30% (อยู่บ้านน้อย)
     ดูตาราง Sensitivity: ถ้าสีเขียวในตารางส่วนต่าง = แบตลด Payback ได้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</si>
</sst>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1F4E79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i/>
      <sz val="10"/>
      <color rgb="FF404040"/>
      <name val="Arial"/>
      <family val="2"/>
    </font>
    <font>
      <i/>
      <sz val="9"/>
      <color rgb="FF1F4E79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1F4E7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6E8F7"/>
      </patternFill>
    </fill>
    <fill>
      <patternFill patternType="solid">
        <fgColor rgb="FFFFFCE6"/>
        <bgColor rgb="FFFFFFFF"/>
      </patternFill>
    </fill>
    <fill>
      <patternFill patternType="solid">
        <fgColor rgb="FFEBF3FB"/>
        <bgColor rgb="FFF0F7FF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276221"/>
      </patternFill>
    </fill>
    <fill>
      <patternFill patternType="solid">
        <fgColor rgb="FF843C0C"/>
        <bgColor rgb="FF9C5700"/>
      </patternFill>
    </fill>
    <fill>
      <patternFill patternType="solid">
        <fgColor rgb="FFFFFFFF"/>
        <bgColor rgb="FFF5F9FF"/>
      </patternFill>
    </fill>
    <fill>
      <patternFill patternType="solid">
        <fgColor rgb="FFF5F9FF"/>
        <bgColor rgb="FFF0F7FF"/>
      </patternFill>
    </fill>
    <fill>
      <patternFill patternType="solid">
        <fgColor rgb="FFF2F2F2"/>
        <bgColor rgb="FFEBF3FB"/>
      </patternFill>
    </fill>
    <fill>
      <patternFill patternType="solid">
        <fgColor rgb="FFD6E8F7"/>
        <bgColor rgb="FFD6E4F0"/>
      </patternFill>
    </fill>
    <fill>
      <patternFill patternType="solid">
        <fgColor rgb="FFD0EAD7"/>
        <bgColor rgb="FFC6EFCE"/>
      </patternFill>
    </fill>
    <fill>
      <patternFill patternType="solid">
        <fgColor rgb="FFFAE5D3"/>
        <bgColor rgb="FFF2F2F2"/>
      </patternFill>
    </fill>
    <fill>
      <patternFill patternType="solid">
        <fgColor rgb="FF6B3575"/>
        <bgColor rgb="FF993366"/>
      </patternFill>
    </fill>
    <fill>
      <patternFill patternType="solid">
        <fgColor rgb="FFE2EFDA"/>
        <bgColor rgb="FFD0EAD7"/>
      </patternFill>
    </fill>
    <fill>
      <patternFill patternType="solid">
        <fgColor rgb="FFF0F7FF"/>
        <bgColor rgb="FFF5F9FF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/>
    </xf>
    <xf numFmtId="0" fontId="5" fillId="0" borderId="0" xfId="0" applyFont="1"/>
    <xf numFmtId="0" fontId="7" fillId="0" borderId="0" xfId="0" applyFont="1" applyAlignment="1">
      <alignment horizontal="left" vertical="center" wrapText="1"/>
    </xf>
    <xf numFmtId="4" fontId="3" fillId="5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10" borderId="0" xfId="0" applyFill="1" applyAlignment="1">
      <alignment horizontal="center" vertical="center"/>
    </xf>
    <xf numFmtId="3" fontId="0" fillId="10" borderId="0" xfId="0" applyNumberFormat="1" applyFill="1"/>
    <xf numFmtId="0" fontId="10" fillId="11" borderId="0" xfId="0" applyFont="1" applyFill="1"/>
    <xf numFmtId="3" fontId="0" fillId="12" borderId="0" xfId="0" applyNumberFormat="1" applyFill="1"/>
    <xf numFmtId="3" fontId="0" fillId="13" borderId="0" xfId="0" applyNumberFormat="1" applyFill="1"/>
    <xf numFmtId="3" fontId="0" fillId="14" borderId="0" xfId="0" applyNumberFormat="1" applyFill="1"/>
    <xf numFmtId="2" fontId="9" fillId="6" borderId="0" xfId="0" applyNumberFormat="1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9" fillId="7" borderId="0" xfId="0" applyNumberFormat="1" applyFont="1" applyFill="1" applyAlignment="1">
      <alignment horizontal="center" vertical="center"/>
    </xf>
    <xf numFmtId="2" fontId="9" fillId="15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3" fontId="0" fillId="16" borderId="0" xfId="0" applyNumberFormat="1" applyFill="1" applyAlignment="1">
      <alignment horizontal="center" vertical="center"/>
    </xf>
    <xf numFmtId="3" fontId="0" fillId="13" borderId="0" xfId="0" applyNumberFormat="1" applyFill="1" applyAlignment="1">
      <alignment horizontal="center" vertical="center"/>
    </xf>
    <xf numFmtId="3" fontId="0" fillId="14" borderId="0" xfId="0" applyNumberFormat="1" applyFill="1" applyAlignment="1">
      <alignment horizontal="center" vertical="center"/>
    </xf>
    <xf numFmtId="0" fontId="10" fillId="17" borderId="0" xfId="0" applyFont="1" applyFill="1"/>
    <xf numFmtId="0" fontId="10" fillId="4" borderId="0" xfId="0" applyFont="1" applyFill="1"/>
    <xf numFmtId="164" fontId="0" fillId="16" borderId="0" xfId="0" applyNumberFormat="1" applyFill="1" applyAlignment="1">
      <alignment horizontal="center" vertical="center"/>
    </xf>
    <xf numFmtId="164" fontId="0" fillId="13" borderId="0" xfId="0" applyNumberFormat="1" applyFill="1" applyAlignment="1">
      <alignment horizontal="center" vertical="center"/>
    </xf>
    <xf numFmtId="164" fontId="0" fillId="14" borderId="0" xfId="0" applyNumberForma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5700"/>
        <name val="Arial"/>
        <charset val="1"/>
      </font>
      <fill>
        <patternFill>
          <bgColor rgb="FFFFEB9C"/>
        </patternFill>
      </fill>
    </dxf>
    <dxf>
      <font>
        <b/>
        <sz val="9"/>
        <color rgb="FF276221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5700"/>
        <name val="Arial"/>
        <charset val="1"/>
      </font>
      <fill>
        <patternFill>
          <bgColor rgb="FFFFEB9C"/>
        </patternFill>
      </fill>
    </dxf>
    <dxf>
      <font>
        <b/>
        <sz val="9"/>
        <color rgb="FF276221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9FF"/>
      <rgbColor rgb="FFFF00FF"/>
      <rgbColor rgb="FF00FFFF"/>
      <rgbColor rgb="FF9C0006"/>
      <rgbColor rgb="FF276221"/>
      <rgbColor rgb="FF000080"/>
      <rgbColor rgb="FF9C5700"/>
      <rgbColor rgb="FF800080"/>
      <rgbColor rgb="FF008080"/>
      <rgbColor rgb="FFD0EAD7"/>
      <rgbColor rgb="FF808080"/>
      <rgbColor rgb="FF9999FF"/>
      <rgbColor rgb="FF6B3575"/>
      <rgbColor rgb="FFFFFCE6"/>
      <rgbColor rgb="FFD6E8F7"/>
      <rgbColor rgb="FF660066"/>
      <rgbColor rgb="FFFF8080"/>
      <rgbColor rgb="FF0066CC"/>
      <rgbColor rgb="FFD6E4F0"/>
      <rgbColor rgb="FF000080"/>
      <rgbColor rgb="FFFF00FF"/>
      <rgbColor rgb="FFF0F7FF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EB9C"/>
      <rgbColor rgb="FFE2EFDA"/>
      <rgbColor rgb="FFFAE5D3"/>
      <rgbColor rgb="FFF2F2F2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8EA9C1"/>
      <rgbColor rgb="FF003366"/>
      <rgbColor rgb="FF339966"/>
      <rgbColor rgb="FF003300"/>
      <rgbColor rgb="FF375623"/>
      <rgbColor rgb="FF843C0C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2641600</xdr:colOff>
      <xdr:row>3</xdr:row>
      <xdr:rowOff>12700</xdr:rowOff>
    </xdr:from>
    <xdr:to>
      <xdr:col>2</xdr:col>
      <xdr:colOff>19050</xdr:colOff>
      <xdr:row>5</xdr:row>
      <xdr:rowOff>6350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B21FE0-BBCB-42C0-C955-504E8013455B}"/>
            </a:ext>
          </a:extLst>
        </xdr:cNvPr>
        <xdr:cNvSpPr/>
      </xdr:nvSpPr>
      <xdr:spPr>
        <a:xfrm>
          <a:off x="2641600" y="730250"/>
          <a:ext cx="1149350" cy="412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2641600</xdr:colOff>
      <xdr:row>11</xdr:row>
      <xdr:rowOff>0</xdr:rowOff>
    </xdr:from>
    <xdr:to>
      <xdr:col>2</xdr:col>
      <xdr:colOff>19050</xdr:colOff>
      <xdr:row>12</xdr:row>
      <xdr:rowOff>203200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5CCEA7D-E23B-41BA-BF64-CF0CE5410B98}"/>
            </a:ext>
          </a:extLst>
        </xdr:cNvPr>
        <xdr:cNvSpPr/>
      </xdr:nvSpPr>
      <xdr:spPr>
        <a:xfrm>
          <a:off x="2641600" y="2387600"/>
          <a:ext cx="1149350" cy="412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2635250</xdr:colOff>
      <xdr:row>18</xdr:row>
      <xdr:rowOff>0</xdr:rowOff>
    </xdr:from>
    <xdr:to>
      <xdr:col>2</xdr:col>
      <xdr:colOff>12700</xdr:colOff>
      <xdr:row>19</xdr:row>
      <xdr:rowOff>203200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DB6EAC2-4349-4699-909E-FD3B410CDBC8}"/>
            </a:ext>
          </a:extLst>
        </xdr:cNvPr>
        <xdr:cNvSpPr/>
      </xdr:nvSpPr>
      <xdr:spPr>
        <a:xfrm>
          <a:off x="2635250" y="3848100"/>
          <a:ext cx="1149350" cy="412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2635250</xdr:colOff>
      <xdr:row>24</xdr:row>
      <xdr:rowOff>6350</xdr:rowOff>
    </xdr:from>
    <xdr:to>
      <xdr:col>2</xdr:col>
      <xdr:colOff>12700</xdr:colOff>
      <xdr:row>25</xdr:row>
      <xdr:rowOff>12700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A6CE3CE-4DEA-4B88-A0F3-A1E219F26FE0}"/>
            </a:ext>
          </a:extLst>
        </xdr:cNvPr>
        <xdr:cNvSpPr/>
      </xdr:nvSpPr>
      <xdr:spPr>
        <a:xfrm>
          <a:off x="2635250" y="5105400"/>
          <a:ext cx="114935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showGridLines="0" tabSelected="1" zoomScaleNormal="100" workbookViewId="0">
      <selection activeCell="E8" sqref="E8"/>
    </sheetView>
  </sheetViews>
  <sheetFormatPr defaultColWidth="8.6328125" defaultRowHeight="14.5" x14ac:dyDescent="0.35"/>
  <cols>
    <col min="1" max="1" width="38" customWidth="1"/>
    <col min="2" max="2" width="16" customWidth="1"/>
    <col min="3" max="3" width="14" customWidth="1"/>
    <col min="4" max="4" width="44" customWidth="1"/>
  </cols>
  <sheetData>
    <row r="1" spans="1:4" ht="24" customHeight="1" x14ac:dyDescent="0.35">
      <c r="A1" s="37" t="s">
        <v>0</v>
      </c>
      <c r="B1" s="37"/>
      <c r="C1" s="37"/>
      <c r="D1" s="37"/>
    </row>
    <row r="3" spans="1:4" ht="18" customHeight="1" x14ac:dyDescent="0.35">
      <c r="A3" s="32" t="s">
        <v>1</v>
      </c>
      <c r="B3" s="32"/>
      <c r="C3" s="32"/>
      <c r="D3" s="32"/>
    </row>
    <row r="4" spans="1:4" ht="16.5" customHeight="1" x14ac:dyDescent="0.35">
      <c r="A4" s="1" t="s">
        <v>2</v>
      </c>
      <c r="B4" s="2">
        <v>5</v>
      </c>
      <c r="C4" s="3" t="s">
        <v>3</v>
      </c>
    </row>
    <row r="5" spans="1:4" ht="16.5" customHeight="1" x14ac:dyDescent="0.35">
      <c r="A5" s="1" t="s">
        <v>4</v>
      </c>
      <c r="B5" s="2">
        <v>135000</v>
      </c>
      <c r="C5" s="3" t="s">
        <v>5</v>
      </c>
    </row>
    <row r="6" spans="1:4" ht="16.5" customHeight="1" x14ac:dyDescent="0.35">
      <c r="A6" s="1" t="s">
        <v>6</v>
      </c>
      <c r="B6" s="2">
        <v>0.9</v>
      </c>
      <c r="C6" s="3" t="s">
        <v>7</v>
      </c>
    </row>
    <row r="7" spans="1:4" ht="16.5" customHeight="1" x14ac:dyDescent="0.35">
      <c r="A7" s="1" t="s">
        <v>8</v>
      </c>
      <c r="B7" s="2">
        <v>4.5</v>
      </c>
      <c r="C7" s="3" t="s">
        <v>9</v>
      </c>
    </row>
    <row r="8" spans="1:4" ht="16.5" customHeight="1" x14ac:dyDescent="0.35">
      <c r="A8" s="1" t="s">
        <v>10</v>
      </c>
      <c r="B8" s="2">
        <v>5.0000000000000001E-3</v>
      </c>
      <c r="C8" s="3" t="s">
        <v>11</v>
      </c>
    </row>
    <row r="9" spans="1:4" ht="16.5" customHeight="1" x14ac:dyDescent="0.35">
      <c r="A9" s="1" t="s">
        <v>12</v>
      </c>
      <c r="B9" s="2">
        <v>25</v>
      </c>
      <c r="C9" s="3" t="s">
        <v>13</v>
      </c>
    </row>
    <row r="11" spans="1:4" ht="18" customHeight="1" x14ac:dyDescent="0.35">
      <c r="A11" s="32" t="s">
        <v>14</v>
      </c>
      <c r="B11" s="32"/>
      <c r="C11" s="32"/>
      <c r="D11" s="32"/>
    </row>
    <row r="12" spans="1:4" ht="16.5" customHeight="1" x14ac:dyDescent="0.35">
      <c r="A12" s="1" t="s">
        <v>15</v>
      </c>
      <c r="B12" s="2">
        <v>10</v>
      </c>
      <c r="C12" s="3" t="s">
        <v>16</v>
      </c>
    </row>
    <row r="13" spans="1:4" ht="16.5" customHeight="1" x14ac:dyDescent="0.35">
      <c r="A13" s="1" t="s">
        <v>17</v>
      </c>
      <c r="B13" s="2">
        <v>80000</v>
      </c>
      <c r="C13" s="3" t="s">
        <v>5</v>
      </c>
    </row>
    <row r="14" spans="1:4" ht="16.5" customHeight="1" x14ac:dyDescent="0.35">
      <c r="A14" s="1" t="s">
        <v>18</v>
      </c>
      <c r="B14" s="2">
        <v>0.9</v>
      </c>
      <c r="C14" s="3" t="s">
        <v>19</v>
      </c>
    </row>
    <row r="15" spans="1:4" ht="16.5" customHeight="1" x14ac:dyDescent="0.35">
      <c r="A15" s="1" t="s">
        <v>20</v>
      </c>
      <c r="B15" s="2">
        <v>0.92</v>
      </c>
      <c r="C15" s="3" t="s">
        <v>21</v>
      </c>
    </row>
    <row r="16" spans="1:4" ht="16.5" customHeight="1" x14ac:dyDescent="0.35">
      <c r="A16" s="1" t="s">
        <v>22</v>
      </c>
      <c r="B16" s="2">
        <v>10</v>
      </c>
      <c r="C16" s="3" t="s">
        <v>23</v>
      </c>
    </row>
    <row r="18" spans="1:4" ht="18" customHeight="1" x14ac:dyDescent="0.35">
      <c r="A18" s="32" t="s">
        <v>24</v>
      </c>
      <c r="B18" s="32"/>
      <c r="C18" s="32"/>
      <c r="D18" s="32"/>
    </row>
    <row r="19" spans="1:4" ht="16.5" customHeight="1" x14ac:dyDescent="0.35">
      <c r="A19" s="1" t="s">
        <v>25</v>
      </c>
      <c r="B19" s="2">
        <v>600</v>
      </c>
      <c r="C19" s="3" t="s">
        <v>26</v>
      </c>
    </row>
    <row r="20" spans="1:4" ht="16.5" customHeight="1" x14ac:dyDescent="0.35">
      <c r="A20" s="1" t="s">
        <v>27</v>
      </c>
      <c r="B20" s="2">
        <v>0.4</v>
      </c>
      <c r="C20" s="3" t="s">
        <v>28</v>
      </c>
    </row>
    <row r="21" spans="1:4" ht="16.5" customHeight="1" x14ac:dyDescent="0.35">
      <c r="A21" s="1" t="s">
        <v>29</v>
      </c>
      <c r="B21" s="2">
        <v>4.5</v>
      </c>
      <c r="C21" s="3" t="s">
        <v>30</v>
      </c>
    </row>
    <row r="22" spans="1:4" ht="16.5" customHeight="1" x14ac:dyDescent="0.35">
      <c r="A22" s="1" t="s">
        <v>31</v>
      </c>
      <c r="B22" s="2">
        <v>0.03</v>
      </c>
      <c r="C22" s="3" t="s">
        <v>32</v>
      </c>
    </row>
    <row r="24" spans="1:4" ht="18" customHeight="1" x14ac:dyDescent="0.35">
      <c r="A24" s="32" t="s">
        <v>33</v>
      </c>
      <c r="B24" s="32"/>
      <c r="C24" s="32"/>
      <c r="D24" s="32"/>
    </row>
    <row r="25" spans="1:4" ht="16.5" customHeight="1" x14ac:dyDescent="0.35">
      <c r="A25" s="1" t="s">
        <v>34</v>
      </c>
      <c r="B25" s="2">
        <v>2.2000000000000002</v>
      </c>
      <c r="C25" s="3" t="s">
        <v>35</v>
      </c>
    </row>
    <row r="27" spans="1:4" ht="18" customHeight="1" x14ac:dyDescent="0.35">
      <c r="A27" s="32" t="s">
        <v>36</v>
      </c>
      <c r="B27" s="32"/>
      <c r="C27" s="32"/>
      <c r="D27" s="32"/>
    </row>
    <row r="28" spans="1:4" ht="16.5" customHeight="1" x14ac:dyDescent="0.35">
      <c r="A28" s="1" t="s">
        <v>37</v>
      </c>
      <c r="B28" s="2">
        <v>3500</v>
      </c>
      <c r="C28" s="3" t="s">
        <v>38</v>
      </c>
    </row>
    <row r="29" spans="1:4" ht="16.5" customHeight="1" x14ac:dyDescent="0.35">
      <c r="A29" s="1" t="s">
        <v>39</v>
      </c>
      <c r="B29" s="2">
        <v>0.05</v>
      </c>
      <c r="C29" s="3" t="s">
        <v>40</v>
      </c>
    </row>
    <row r="31" spans="1:4" ht="18" customHeight="1" x14ac:dyDescent="0.35">
      <c r="A31" s="33" t="s">
        <v>41</v>
      </c>
      <c r="B31" s="33"/>
      <c r="C31" s="33"/>
      <c r="D31" s="33"/>
    </row>
    <row r="32" spans="1:4" ht="16.5" customHeight="1" x14ac:dyDescent="0.35">
      <c r="A32" s="4" t="s">
        <v>42</v>
      </c>
      <c r="B32" s="5">
        <f>B4*B7*B6</f>
        <v>20.25</v>
      </c>
      <c r="C32" s="3" t="s">
        <v>43</v>
      </c>
    </row>
    <row r="33" spans="1:4" ht="16.5" customHeight="1" x14ac:dyDescent="0.35">
      <c r="A33" s="4" t="s">
        <v>44</v>
      </c>
      <c r="B33" s="5">
        <f>B19*12/365</f>
        <v>19.726027397260275</v>
      </c>
      <c r="C33" s="3" t="s">
        <v>43</v>
      </c>
    </row>
    <row r="34" spans="1:4" ht="16.5" customHeight="1" x14ac:dyDescent="0.35">
      <c r="A34" s="4" t="s">
        <v>45</v>
      </c>
      <c r="B34" s="5">
        <f>B33*B20</f>
        <v>7.89041095890411</v>
      </c>
      <c r="C34" s="3" t="s">
        <v>43</v>
      </c>
      <c r="D34" s="3" t="s">
        <v>46</v>
      </c>
    </row>
    <row r="35" spans="1:4" ht="16.5" customHeight="1" x14ac:dyDescent="0.35">
      <c r="A35" s="4" t="s">
        <v>47</v>
      </c>
      <c r="B35" s="5">
        <f>B33*(1-B20)</f>
        <v>11.835616438356164</v>
      </c>
      <c r="C35" s="3" t="s">
        <v>43</v>
      </c>
    </row>
    <row r="37" spans="1:4" ht="18" customHeight="1" x14ac:dyDescent="0.35">
      <c r="A37" s="34" t="s">
        <v>48</v>
      </c>
      <c r="B37" s="34"/>
      <c r="C37" s="34"/>
      <c r="D37" s="34"/>
    </row>
    <row r="38" spans="1:4" ht="16.5" customHeight="1" x14ac:dyDescent="0.35">
      <c r="A38" s="4" t="s">
        <v>49</v>
      </c>
      <c r="B38" s="5">
        <f>MIN(B32,B34)</f>
        <v>7.89041095890411</v>
      </c>
      <c r="C38" s="3" t="s">
        <v>43</v>
      </c>
      <c r="D38" s="3" t="s">
        <v>50</v>
      </c>
    </row>
    <row r="39" spans="1:4" ht="16.5" customHeight="1" x14ac:dyDescent="0.35">
      <c r="A39" s="4" t="s">
        <v>51</v>
      </c>
      <c r="B39" s="5">
        <f>MAX(0,B32-B34)</f>
        <v>12.359589041095891</v>
      </c>
      <c r="C39" s="3" t="s">
        <v>43</v>
      </c>
      <c r="D39" s="3" t="s">
        <v>52</v>
      </c>
    </row>
    <row r="40" spans="1:4" ht="16.5" customHeight="1" x14ac:dyDescent="0.35">
      <c r="A40" s="4" t="s">
        <v>53</v>
      </c>
      <c r="B40" s="5">
        <f>B35+MAX(0,B34-B32)</f>
        <v>11.835616438356164</v>
      </c>
      <c r="C40" s="3" t="s">
        <v>43</v>
      </c>
      <c r="D40" s="3" t="s">
        <v>54</v>
      </c>
    </row>
    <row r="42" spans="1:4" ht="18" customHeight="1" x14ac:dyDescent="0.35">
      <c r="A42" s="35" t="s">
        <v>55</v>
      </c>
      <c r="B42" s="35"/>
      <c r="C42" s="35"/>
      <c r="D42" s="35"/>
    </row>
    <row r="43" spans="1:4" ht="16.5" customHeight="1" x14ac:dyDescent="0.35">
      <c r="A43" s="4" t="s">
        <v>56</v>
      </c>
      <c r="B43" s="5">
        <f>MAX(0,B32-B34)</f>
        <v>12.359589041095891</v>
      </c>
      <c r="C43" s="3" t="s">
        <v>43</v>
      </c>
    </row>
    <row r="44" spans="1:4" ht="16.5" customHeight="1" x14ac:dyDescent="0.35">
      <c r="A44" s="4" t="s">
        <v>57</v>
      </c>
      <c r="B44" s="5">
        <f>MIN(B43,B12*B14)</f>
        <v>9</v>
      </c>
      <c r="C44" s="3" t="s">
        <v>43</v>
      </c>
      <c r="D44" s="3" t="s">
        <v>58</v>
      </c>
    </row>
    <row r="45" spans="1:4" ht="16.5" customHeight="1" x14ac:dyDescent="0.35">
      <c r="A45" s="4" t="s">
        <v>51</v>
      </c>
      <c r="B45" s="5">
        <f>MAX(0,B43-B12*B14)</f>
        <v>3.3595890410958908</v>
      </c>
      <c r="C45" s="3" t="s">
        <v>43</v>
      </c>
      <c r="D45" s="3" t="s">
        <v>59</v>
      </c>
    </row>
    <row r="46" spans="1:4" ht="16.5" customHeight="1" x14ac:dyDescent="0.35">
      <c r="A46" s="4" t="s">
        <v>60</v>
      </c>
      <c r="B46" s="5">
        <f>B44*B15</f>
        <v>8.2800000000000011</v>
      </c>
      <c r="C46" s="3" t="s">
        <v>43</v>
      </c>
      <c r="D46" s="3" t="s">
        <v>61</v>
      </c>
    </row>
    <row r="47" spans="1:4" ht="16.5" customHeight="1" x14ac:dyDescent="0.35">
      <c r="A47" s="4" t="s">
        <v>62</v>
      </c>
      <c r="B47" s="5">
        <f>MAX(0,B35-B46)</f>
        <v>3.5556164383561626</v>
      </c>
      <c r="C47" s="3" t="s">
        <v>43</v>
      </c>
      <c r="D47" s="3" t="s">
        <v>63</v>
      </c>
    </row>
    <row r="48" spans="1:4" ht="16.5" customHeight="1" x14ac:dyDescent="0.35">
      <c r="A48" s="4" t="s">
        <v>64</v>
      </c>
      <c r="B48" s="5">
        <f>MAX(0,B34-B32)+B47</f>
        <v>3.5556164383561626</v>
      </c>
      <c r="C48" s="3" t="s">
        <v>43</v>
      </c>
    </row>
    <row r="50" spans="1:4" ht="15" customHeight="1" x14ac:dyDescent="0.35">
      <c r="A50" s="36" t="s">
        <v>65</v>
      </c>
      <c r="B50" s="36"/>
      <c r="C50" s="36"/>
      <c r="D50" s="36"/>
    </row>
    <row r="51" spans="1:4" ht="15" customHeight="1" x14ac:dyDescent="0.35">
      <c r="A51" s="36"/>
      <c r="B51" s="36"/>
      <c r="C51" s="36"/>
      <c r="D51" s="36"/>
    </row>
    <row r="52" spans="1:4" ht="15" customHeight="1" x14ac:dyDescent="0.35">
      <c r="A52" s="36"/>
      <c r="B52" s="36"/>
      <c r="C52" s="36"/>
      <c r="D52" s="36"/>
    </row>
  </sheetData>
  <mergeCells count="10">
    <mergeCell ref="A1:D1"/>
    <mergeCell ref="A3:D3"/>
    <mergeCell ref="A11:D11"/>
    <mergeCell ref="A18:D18"/>
    <mergeCell ref="A24:D24"/>
    <mergeCell ref="A27:D27"/>
    <mergeCell ref="A31:D31"/>
    <mergeCell ref="A37:D37"/>
    <mergeCell ref="A42:D42"/>
    <mergeCell ref="A50:D5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showGridLines="0" zoomScale="69" zoomScaleNormal="100" workbookViewId="0">
      <selection activeCell="N29" sqref="N29"/>
    </sheetView>
  </sheetViews>
  <sheetFormatPr defaultColWidth="8.6328125" defaultRowHeight="14.5" x14ac:dyDescent="0.35"/>
  <cols>
    <col min="1" max="1" width="4" customWidth="1"/>
    <col min="2" max="2" width="14" customWidth="1"/>
    <col min="3" max="4" width="13" customWidth="1"/>
    <col min="5" max="7" width="14" customWidth="1"/>
    <col min="8" max="8" width="2" customWidth="1"/>
    <col min="9" max="9" width="14" customWidth="1"/>
    <col min="10" max="11" width="13" customWidth="1"/>
    <col min="12" max="14" width="14" customWidth="1"/>
    <col min="15" max="15" width="2" customWidth="1"/>
    <col min="16" max="17" width="14" customWidth="1"/>
  </cols>
  <sheetData>
    <row r="1" spans="1:17" ht="24" customHeight="1" x14ac:dyDescent="0.35">
      <c r="A1" s="37" t="s">
        <v>66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3" spans="1:17" ht="15" customHeight="1" x14ac:dyDescent="0.35">
      <c r="B3" s="38" t="s">
        <v>67</v>
      </c>
      <c r="C3" s="38"/>
      <c r="D3" s="38"/>
      <c r="E3" s="38"/>
      <c r="F3" s="38"/>
      <c r="G3" s="38"/>
      <c r="I3" s="39" t="s">
        <v>68</v>
      </c>
      <c r="J3" s="39"/>
      <c r="K3" s="39"/>
      <c r="L3" s="39"/>
      <c r="M3" s="39"/>
      <c r="N3" s="39"/>
      <c r="P3" s="40" t="s">
        <v>69</v>
      </c>
      <c r="Q3" s="40"/>
    </row>
    <row r="4" spans="1:17" ht="30" customHeight="1" x14ac:dyDescent="0.35">
      <c r="A4" s="6" t="s">
        <v>13</v>
      </c>
      <c r="B4" s="7" t="s">
        <v>70</v>
      </c>
      <c r="C4" s="7" t="s">
        <v>71</v>
      </c>
      <c r="D4" s="7" t="s">
        <v>72</v>
      </c>
      <c r="E4" s="7" t="s">
        <v>73</v>
      </c>
      <c r="F4" s="7" t="s">
        <v>74</v>
      </c>
      <c r="G4" s="7" t="s">
        <v>75</v>
      </c>
      <c r="H4" s="8"/>
      <c r="I4" s="9" t="s">
        <v>70</v>
      </c>
      <c r="J4" s="9" t="s">
        <v>71</v>
      </c>
      <c r="K4" s="9" t="s">
        <v>72</v>
      </c>
      <c r="L4" s="9" t="s">
        <v>73</v>
      </c>
      <c r="M4" s="9" t="s">
        <v>74</v>
      </c>
      <c r="N4" s="9" t="s">
        <v>75</v>
      </c>
      <c r="O4" s="8"/>
      <c r="P4" s="10" t="s">
        <v>76</v>
      </c>
      <c r="Q4" s="10" t="s">
        <v>77</v>
      </c>
    </row>
    <row r="5" spans="1:17" ht="15.75" customHeight="1" x14ac:dyDescent="0.35">
      <c r="A5" s="11">
        <v>1</v>
      </c>
      <c r="B5" s="12">
        <f>สมมติฐาน!B32*(1-สมมติฐาน!B8)^(1-1)*365</f>
        <v>7391.25</v>
      </c>
      <c r="C5" s="12">
        <f>MIN(สมมติฐาน!B32*(1-สมมติฐาน!B8)^(1-1),สมมติฐาน!B34)*365</f>
        <v>2880</v>
      </c>
      <c r="D5" s="12">
        <f>MAX(0,สมมติฐาน!B32*(1-สมมติฐาน!B8)^(1-1)-สมมติฐาน!B34)*365</f>
        <v>4511.25</v>
      </c>
      <c r="E5" s="12">
        <f>(MIN(สมมติฐาน!B32*(1-สมมติฐาน!B8)^(1-1),สมมติฐาน!B34)*สมมติฐาน!B21*(1+สมมติฐาน!B22)^(1-1)+MAX(0,สมมติฐาน!B32*(1-สมมติฐาน!B8)^(1-1)-สมมติฐาน!B34)*สมมติฐาน!B25)*365</f>
        <v>22884.75</v>
      </c>
      <c r="F5" s="12">
        <f>E5-สมมติฐาน!B5-สมมติฐาน!B28</f>
        <v>-115615.25</v>
      </c>
      <c r="G5" s="12">
        <f>F5</f>
        <v>-115615.25</v>
      </c>
      <c r="I5" s="12">
        <f>สมมติฐาน!B32*(1-สมมติฐาน!B8)^(1-1)*365</f>
        <v>7391.25</v>
      </c>
      <c r="J5" s="12">
        <f>(MIN(สมมติฐาน!B32*(1-สมมติฐาน!B8)^(1-1),สมมติฐาน!B34)+MIN(สมมติฐาน!B35,(MIN(MAX(0,สมมติฐาน!B32*(1-สมมติฐาน!B8)^(1-1)-สมมติฐาน!B34),สมมติฐาน!B12*สมมติฐาน!B14))*สมมติฐาน!B15))*365</f>
        <v>5902.2</v>
      </c>
      <c r="K5" s="12">
        <f>MAX(0,MAX(0,สมมติฐาน!B32*(1-สมมติฐาน!B8)^(1-1)-สมมติฐาน!B34)-สมมติฐาน!B12*สมมติฐาน!B14)*365</f>
        <v>1226.2500000000002</v>
      </c>
      <c r="L5" s="12">
        <f>((MIN(สมมติฐาน!B32*(1-สมมติฐาน!B8)^(1-1),สมมติฐาน!B34)+MIN(สมมติฐาน!B35,(MIN(MAX(0,สมมติฐาน!B32*(1-สมมติฐาน!B8)^(1-1)-สมมติฐาน!B34),สมมติฐาน!B12*สมมติฐาน!B14))*สมมติฐาน!B15))*สมมติฐาน!B21*(1+สมมติฐาน!B22)^(1-1)+MAX(0,MAX(0,สมมติฐาน!B32*(1-สมมติฐาน!B8)^(1-1)-สมมติฐาน!B34)-สมมติฐาน!B12*สมมติฐาน!B14)*สมมติฐาน!B25)*365</f>
        <v>29257.650000000005</v>
      </c>
      <c r="M5" s="12">
        <f>L5-สมมติฐาน!B5-สมมติฐาน!B13-สมมติฐาน!B28</f>
        <v>-189242.34999999998</v>
      </c>
      <c r="N5" s="12">
        <f>M5</f>
        <v>-189242.34999999998</v>
      </c>
      <c r="P5" s="12">
        <f>-สมมติฐาน!B33*365*สมมติฐาน!B21*(1+สมมติฐาน!B22)^(1-1)</f>
        <v>-32400</v>
      </c>
      <c r="Q5" s="12">
        <f>P5</f>
        <v>-32400</v>
      </c>
    </row>
    <row r="6" spans="1:17" ht="15.75" customHeight="1" x14ac:dyDescent="0.35">
      <c r="A6" s="13">
        <v>2</v>
      </c>
      <c r="B6" s="14">
        <f>สมมติฐาน!B32*(1-สมมติฐาน!B8)^(2-1)*365</f>
        <v>7354.2937499999998</v>
      </c>
      <c r="C6" s="14">
        <f>MIN(สมมติฐาน!B32*(1-สมมติฐาน!B8)^(2-1),สมมติฐาน!B34)*365</f>
        <v>2880</v>
      </c>
      <c r="D6" s="14">
        <f>MAX(0,สมมติฐาน!B32*(1-สมมติฐาน!B8)^(2-1)-สมมติฐาน!B34)*365</f>
        <v>4474.2937499999998</v>
      </c>
      <c r="E6" s="14">
        <f>(MIN(สมมติฐาน!B32*(1-สมมติฐาน!B8)^(2-1),สมมติฐาน!B34)*สมมติฐาน!B21*(1+สมมติฐาน!B22)^(2-1)+MAX(0,สมมติฐาน!B32*(1-สมมติฐาน!B8)^(2-1)-สมมติฐาน!B34)*สมมติฐาน!B25)*365</f>
        <v>23192.246250000004</v>
      </c>
      <c r="F6" s="14">
        <f>E6-สมมติฐาน!B28</f>
        <v>19692.246250000004</v>
      </c>
      <c r="G6" s="14">
        <f t="shared" ref="G6:G29" si="0">G5+F6</f>
        <v>-95923.003750000003</v>
      </c>
      <c r="I6" s="14">
        <f>สมมติฐาน!B32*(1-สมมติฐาน!B8)^(2-1)*365</f>
        <v>7354.2937499999998</v>
      </c>
      <c r="J6" s="14">
        <f>(MIN(สมมติฐาน!B32*(1-สมมติฐาน!B8)^(2-1),สมมติฐาน!B34)+MIN(สมมติฐาน!B35,(MIN(MAX(0,สมมติฐาน!B32*(1-สมมติฐาน!B8)^(2-1)-สมมติฐาน!B34),สมมติฐาน!B12*สมมติฐาน!B14))*สมมติฐาน!B15))*365</f>
        <v>5902.2</v>
      </c>
      <c r="K6" s="14">
        <f>MAX(0,MAX(0,สมมติฐาน!B32*(1-สมมติฐาน!B8)^(2-1)-สมมติฐาน!B34)-สมมติฐาน!B12*สมมติฐาน!B14)*365</f>
        <v>1189.29375</v>
      </c>
      <c r="L6" s="14">
        <f>((MIN(สมมติฐาน!B32*(1-สมมติฐาน!B8)^(2-1),สมมติฐาน!B34)+MIN(สมมติฐาน!B35,(MIN(MAX(0,สมมติฐาน!B32*(1-สมมติฐาน!B8)^(2-1)-สมมติฐาน!B34),สมมติฐาน!B12*สมมติฐาน!B14))*สมมติฐาน!B15))*สมมติฐาน!B21*(1+สมมติฐาน!B22)^(2-1)+MAX(0,MAX(0,สมมติฐาน!B32*(1-สมมติฐาน!B8)^(2-1)-สมมติฐาน!B34)-สมมติฐาน!B12*สมมติฐาน!B14)*สมมติฐาน!B25)*365</f>
        <v>29973.143250000005</v>
      </c>
      <c r="M6" s="14">
        <f>L6-สมมติฐาน!B28</f>
        <v>26473.143250000005</v>
      </c>
      <c r="N6" s="14">
        <f t="shared" ref="N6:N29" si="1">N5+M6</f>
        <v>-162769.20674999998</v>
      </c>
      <c r="P6" s="14">
        <f>-สมมติฐาน!B33*365*สมมติฐาน!B21*(1+สมมติฐาน!B22)^(2-1)</f>
        <v>-33372</v>
      </c>
      <c r="Q6" s="14">
        <f t="shared" ref="Q6:Q29" si="2">Q5+P6</f>
        <v>-65772</v>
      </c>
    </row>
    <row r="7" spans="1:17" ht="15.75" customHeight="1" x14ac:dyDescent="0.35">
      <c r="A7" s="11">
        <v>3</v>
      </c>
      <c r="B7" s="12">
        <f>สมมติฐาน!B32*(1-สมมติฐาน!B8)^(3-1)*365</f>
        <v>7317.5222812499997</v>
      </c>
      <c r="C7" s="12">
        <f>MIN(สมมติฐาน!B32*(1-สมมติฐาน!B8)^(3-1),สมมติฐาน!B34)*365</f>
        <v>2880</v>
      </c>
      <c r="D7" s="12">
        <f>MAX(0,สมมติฐาน!B32*(1-สมมติฐาน!B8)^(3-1)-สมมติฐาน!B34)*365</f>
        <v>4437.5222812500006</v>
      </c>
      <c r="E7" s="12">
        <f>(MIN(สมมติฐาน!B32*(1-สมมติฐาน!B8)^(3-1),สมมติฐาน!B34)*สมมติฐาน!B21*(1+สมมติฐาน!B22)^(3-1)+MAX(0,สมมติฐาน!B32*(1-สมมติฐาน!B8)^(3-1)-สมมติฐาน!B34)*สมมติฐาน!B25)*365</f>
        <v>23511.813018750003</v>
      </c>
      <c r="F7" s="12">
        <f>E7-สมมติฐาน!B28</f>
        <v>20011.813018750003</v>
      </c>
      <c r="G7" s="12">
        <f t="shared" si="0"/>
        <v>-75911.190731249997</v>
      </c>
      <c r="I7" s="12">
        <f>สมมติฐาน!B32*(1-สมมติฐาน!B8)^(3-1)*365</f>
        <v>7317.5222812499997</v>
      </c>
      <c r="J7" s="12">
        <f>(MIN(สมมติฐาน!B32*(1-สมมติฐาน!B8)^(3-1),สมมติฐาน!B34)+MIN(สมมติฐาน!B35,(MIN(MAX(0,สมมติฐาน!B32*(1-สมมติฐาน!B8)^(3-1)-สมมติฐาน!B34),สมมติฐาน!B12*สมมติฐาน!B14))*สมมติฐาน!B15))*365</f>
        <v>5902.2</v>
      </c>
      <c r="K7" s="12">
        <f>MAX(0,MAX(0,สมมติฐาน!B32*(1-สมมติฐาน!B8)^(3-1)-สมมติฐาน!B34)-สมมติฐาน!B12*สมมติฐาน!B14)*365</f>
        <v>1152.5222812500003</v>
      </c>
      <c r="L7" s="12">
        <f>((MIN(สมมติฐาน!B32*(1-สมมติฐาน!B8)^(3-1),สมมติฐาน!B34)+MIN(สมมติฐาน!B35,(MIN(MAX(0,สมมติฐาน!B32*(1-สมมติฐาน!B8)^(3-1)-สมมติฐาน!B34),สมมติฐาน!B12*สมมติฐาน!B14))*สมมติฐาน!B15))*สมมติฐาน!B21*(1+สมมติฐาน!B22)^(3-1)+MAX(0,MAX(0,สมมติฐาน!B32*(1-สมมติฐาน!B8)^(3-1)-สมมติฐาน!B34)-สมมติฐาน!B12*สมมติฐาน!B14)*สมมติฐาน!B25)*365</f>
        <v>30712.946928750003</v>
      </c>
      <c r="M7" s="12">
        <f>L7-สมมติฐาน!B28</f>
        <v>27212.946928750003</v>
      </c>
      <c r="N7" s="12">
        <f t="shared" si="1"/>
        <v>-135556.25982124999</v>
      </c>
      <c r="P7" s="12">
        <f>-สมมติฐาน!B33*365*สมมติฐาน!B21*(1+สมมติฐาน!B22)^(3-1)</f>
        <v>-34373.159999999996</v>
      </c>
      <c r="Q7" s="12">
        <f t="shared" si="2"/>
        <v>-100145.16</v>
      </c>
    </row>
    <row r="8" spans="1:17" ht="15.75" customHeight="1" x14ac:dyDescent="0.35">
      <c r="A8" s="13">
        <v>4</v>
      </c>
      <c r="B8" s="14">
        <f>สมมติฐาน!B32*(1-สมมติฐาน!B8)^(4-1)*365</f>
        <v>7280.9346698437503</v>
      </c>
      <c r="C8" s="14">
        <f>MIN(สมมติฐาน!B32*(1-สมมติฐาน!B8)^(4-1),สมมติฐาน!B34)*365</f>
        <v>2880</v>
      </c>
      <c r="D8" s="14">
        <f>MAX(0,สมมติฐาน!B32*(1-สมมติฐาน!B8)^(4-1)-สมมติฐาน!B34)*365</f>
        <v>4400.9346698437503</v>
      </c>
      <c r="E8" s="14">
        <f>(MIN(สมมติฐาน!B32*(1-สมมติฐาน!B8)^(4-1),สมมติฐาน!B34)*สมมติฐาน!B21*(1+สมมติฐาน!B22)^(4-1)+MAX(0,สมมติฐาน!B32*(1-สมมติฐาน!B8)^(4-1)-สมมติฐาน!B34)*สมมติฐาน!B25)*365</f>
        <v>23843.79819365625</v>
      </c>
      <c r="F8" s="14">
        <f>E8-สมมติฐาน!B28</f>
        <v>20343.79819365625</v>
      </c>
      <c r="G8" s="14">
        <f t="shared" si="0"/>
        <v>-55567.392537593747</v>
      </c>
      <c r="I8" s="14">
        <f>สมมติฐาน!B32*(1-สมมติฐาน!B8)^(4-1)*365</f>
        <v>7280.9346698437503</v>
      </c>
      <c r="J8" s="14">
        <f>(MIN(สมมติฐาน!B32*(1-สมมติฐาน!B8)^(4-1),สมมติฐาน!B34)+MIN(สมมติฐาน!B35,(MIN(MAX(0,สมมติฐาน!B32*(1-สมมติฐาน!B8)^(4-1)-สมมติฐาน!B34),สมมติฐาน!B12*สมมติฐาน!B14))*สมมติฐาน!B15))*365</f>
        <v>5902.2</v>
      </c>
      <c r="K8" s="14">
        <f>MAX(0,MAX(0,สมมติฐาน!B32*(1-สมมติฐาน!B8)^(4-1)-สมมติฐาน!B34)-สมมติฐาน!B12*สมมติฐาน!B14)*365</f>
        <v>1115.9346698437505</v>
      </c>
      <c r="L8" s="14">
        <f>((MIN(สมมติฐาน!B32*(1-สมมติฐาน!B8)^(4-1),สมมติฐาน!B34)+MIN(สมมติฐาน!B35,(MIN(MAX(0,สมมติฐาน!B32*(1-สมมติฐาน!B8)^(4-1)-สมมติฐาน!B34),สมมติฐาน!B12*สมมติฐาน!B14))*สมมติฐาน!B15))*สมมติฐาน!B21*(1+สมมติฐาน!B22)^(4-1)+MAX(0,MAX(0,สมมติฐาน!B32*(1-สมมติฐาน!B8)^(4-1)-สมมติฐาน!B34)-สมมติฐาน!B12*สมมติฐาน!B14)*สมมติฐาน!B25)*365</f>
        <v>31477.776120956252</v>
      </c>
      <c r="M8" s="14">
        <f>L8-สมมติฐาน!B28</f>
        <v>27977.776120956252</v>
      </c>
      <c r="N8" s="14">
        <f t="shared" si="1"/>
        <v>-107578.48370029373</v>
      </c>
      <c r="P8" s="14">
        <f>-สมมติฐาน!B33*365*สมมติฐาน!B21*(1+สมมติฐาน!B22)^(4-1)</f>
        <v>-35404.354800000001</v>
      </c>
      <c r="Q8" s="14">
        <f t="shared" si="2"/>
        <v>-135549.5148</v>
      </c>
    </row>
    <row r="9" spans="1:17" ht="15.75" customHeight="1" x14ac:dyDescent="0.35">
      <c r="A9" s="11">
        <v>5</v>
      </c>
      <c r="B9" s="12">
        <f>สมมติฐาน!B32*(1-สมมติฐาน!B8)^(5-1)*365</f>
        <v>7244.5299964945316</v>
      </c>
      <c r="C9" s="12">
        <f>MIN(สมมติฐาน!B32*(1-สมมติฐาน!B8)^(5-1),สมมติฐาน!B34)*365</f>
        <v>2880</v>
      </c>
      <c r="D9" s="12">
        <f>MAX(0,สมมติฐาน!B32*(1-สมมติฐาน!B8)^(5-1)-สมมติฐาน!B34)*365</f>
        <v>4364.5299964945325</v>
      </c>
      <c r="E9" s="12">
        <f>(MIN(สมมติฐาน!B32*(1-สมมติฐาน!B8)^(5-1),สมมติฐาน!B34)*สมมติฐาน!B21*(1+สมมติฐาน!B22)^(5-1)+MAX(0,สมมติฐาน!B32*(1-สมมติฐาน!B8)^(5-1)-สมมติฐาน!B34)*สมมติฐาน!B25)*365</f>
        <v>24188.560169887969</v>
      </c>
      <c r="F9" s="12">
        <f>E9-สมมติฐาน!B28</f>
        <v>20688.560169887969</v>
      </c>
      <c r="G9" s="12">
        <f t="shared" si="0"/>
        <v>-34878.832367705778</v>
      </c>
      <c r="I9" s="12">
        <f>สมมติฐาน!B32*(1-สมมติฐาน!B8)^(5-1)*365</f>
        <v>7244.5299964945316</v>
      </c>
      <c r="J9" s="12">
        <f>(MIN(สมมติฐาน!B32*(1-สมมติฐาน!B8)^(5-1),สมมติฐาน!B34)+MIN(สมมติฐาน!B35,(MIN(MAX(0,สมมติฐาน!B32*(1-สมมติฐาน!B8)^(5-1)-สมมติฐาน!B34),สมมติฐาน!B12*สมมติฐาน!B14))*สมมติฐาน!B15))*365</f>
        <v>5902.2</v>
      </c>
      <c r="K9" s="12">
        <f>MAX(0,MAX(0,สมมติฐาน!B32*(1-สมมติฐาน!B8)^(5-1)-สมมติฐาน!B34)-สมมติฐาน!B12*สมมติฐาน!B14)*365</f>
        <v>1079.5299964945323</v>
      </c>
      <c r="L9" s="12">
        <f>((MIN(สมมติฐาน!B32*(1-สมมติฐาน!B8)^(5-1),สมมติฐาน!B34)+MIN(สมมติฐาน!B35,(MIN(MAX(0,สมมติฐาน!B32*(1-สมมติฐาน!B8)^(5-1)-สมมติฐาน!B34),สมมติฐาน!B12*สมมติฐาน!B14))*สมมติฐาน!B15))*สมมติฐาน!B21*(1+สมมติฐาน!B22)^(5-1)+MAX(0,MAX(0,สมมติฐาน!B32*(1-สมมติฐาน!B8)^(5-1)-สมมติฐาน!B34)-สมมติฐาน!B12*สมมติฐาน!B14)*สมมติฐาน!B25)*365</f>
        <v>32268.367435006974</v>
      </c>
      <c r="M9" s="12">
        <f>L9-สมมติฐาน!B28</f>
        <v>28768.367435006974</v>
      </c>
      <c r="N9" s="12">
        <f t="shared" si="1"/>
        <v>-78810.11626528675</v>
      </c>
      <c r="P9" s="12">
        <f>-สมมติฐาน!B33*365*สมมติฐาน!B21*(1+สมมติฐาน!B22)^(5-1)</f>
        <v>-36466.485443999998</v>
      </c>
      <c r="Q9" s="12">
        <f t="shared" si="2"/>
        <v>-172016.000244</v>
      </c>
    </row>
    <row r="10" spans="1:17" ht="15.75" customHeight="1" x14ac:dyDescent="0.35">
      <c r="A10" s="13">
        <v>6</v>
      </c>
      <c r="B10" s="14">
        <f>สมมติฐาน!B32*(1-สมมติฐาน!B8)^(6-1)*365</f>
        <v>7208.3073465120597</v>
      </c>
      <c r="C10" s="14">
        <f>MIN(สมมติฐาน!B32*(1-สมมติฐาน!B8)^(6-1),สมมติฐาน!B34)*365</f>
        <v>2880</v>
      </c>
      <c r="D10" s="14">
        <f>MAX(0,สมมติฐาน!B32*(1-สมมติฐาน!B8)^(6-1)-สมมติฐาน!B34)*365</f>
        <v>4328.3073465120597</v>
      </c>
      <c r="E10" s="14">
        <f>(MIN(สมมติฐาน!B32*(1-สมมติฐาน!B8)^(6-1),สมมติฐาน!B34)*สมมติฐาน!B21*(1+สมมติฐาน!B22)^(6-1)+MAX(0,สมมติฐาน!B32*(1-สมมติฐาน!B8)^(6-1)-สมมติฐาน!B34)*สมมติฐาน!B25)*365</f>
        <v>24546.46816525453</v>
      </c>
      <c r="F10" s="14">
        <f>E10-สมมติฐาน!B28</f>
        <v>21046.46816525453</v>
      </c>
      <c r="G10" s="14">
        <f t="shared" si="0"/>
        <v>-13832.364202451248</v>
      </c>
      <c r="I10" s="14">
        <f>สมมติฐาน!B32*(1-สมมติฐาน!B8)^(6-1)*365</f>
        <v>7208.3073465120597</v>
      </c>
      <c r="J10" s="14">
        <f>(MIN(สมมติฐาน!B32*(1-สมมติฐาน!B8)^(6-1),สมมติฐาน!B34)+MIN(สมมติฐาน!B35,(MIN(MAX(0,สมมติฐาน!B32*(1-สมมติฐาน!B8)^(6-1)-สมมติฐาน!B34),สมมติฐาน!B12*สมมติฐาน!B14))*สมมติฐาน!B15))*365</f>
        <v>5902.2</v>
      </c>
      <c r="K10" s="14">
        <f>MAX(0,MAX(0,สมมติฐาน!B32*(1-สมมติฐาน!B8)^(6-1)-สมมติฐาน!B34)-สมมติฐาน!B12*สมมติฐาน!B14)*365</f>
        <v>1043.3073465120594</v>
      </c>
      <c r="L10" s="14">
        <f>((MIN(สมมติฐาน!B32*(1-สมมติฐาน!B8)^(6-1),สมมติฐาน!B34)+MIN(สมมติฐาน!B35,(MIN(MAX(0,สมมติฐาน!B32*(1-สมมติฐาน!B8)^(6-1)-สมมติฐาน!B34),สมมติฐาน!B12*สมมติฐาน!B14))*สมมติฐาน!B15))*สมมติฐาน!B21*(1+สมมติฐาน!B22)^(6-1)+MAX(0,MAX(0,สมมติฐาน!B32*(1-สมมติฐาน!B8)^(6-1)-สมมติฐาน!B34)-สมมติฐาน!B12*สมมติฐาน!B14)*สมมติฐาน!B25)*365</f>
        <v>33085.479648327098</v>
      </c>
      <c r="M10" s="14">
        <f>L10-สมมติฐาน!B28</f>
        <v>29585.479648327098</v>
      </c>
      <c r="N10" s="14">
        <f t="shared" si="1"/>
        <v>-49224.636616959651</v>
      </c>
      <c r="P10" s="14">
        <f>-สมมติฐาน!B33*365*สมมติฐาน!B21*(1+สมมติฐาน!B22)^(6-1)</f>
        <v>-37560.480007319995</v>
      </c>
      <c r="Q10" s="14">
        <f t="shared" si="2"/>
        <v>-209576.48025132</v>
      </c>
    </row>
    <row r="11" spans="1:17" ht="15.75" customHeight="1" x14ac:dyDescent="0.35">
      <c r="A11" s="11">
        <v>7</v>
      </c>
      <c r="B11" s="12">
        <f>สมมติฐาน!B32*(1-สมมติฐาน!B8)^(7-1)*365</f>
        <v>7172.2658097794983</v>
      </c>
      <c r="C11" s="12">
        <f>MIN(สมมติฐาน!B32*(1-สมมติฐาน!B8)^(7-1),สมมติฐาน!B34)*365</f>
        <v>2880</v>
      </c>
      <c r="D11" s="12">
        <f>MAX(0,สมมติฐาน!B32*(1-สมมติฐาน!B8)^(7-1)-สมมติฐาน!B34)*365</f>
        <v>4292.2658097794992</v>
      </c>
      <c r="E11" s="12">
        <f>(MIN(สมมติฐาน!B32*(1-สมมติฐาน!B8)^(7-1),สมมติฐาน!B34)*สมมติฐาน!B21*(1+สมมติฐาน!B22)^(7-1)+MAX(0,สมมติฐาน!B32*(1-สมมติฐาน!B8)^(7-1)-สมมติฐาน!B34)*สมมติฐาน!B25)*365</f>
        <v>24917.902544530738</v>
      </c>
      <c r="F11" s="12">
        <f>E11-สมมติฐาน!B28</f>
        <v>21417.902544530738</v>
      </c>
      <c r="G11" s="12">
        <f t="shared" si="0"/>
        <v>7585.5383420794897</v>
      </c>
      <c r="I11" s="12">
        <f>สมมติฐาน!B32*(1-สมมติฐาน!B8)^(7-1)*365</f>
        <v>7172.2658097794983</v>
      </c>
      <c r="J11" s="12">
        <f>(MIN(สมมติฐาน!B32*(1-สมมติฐาน!B8)^(7-1),สมมติฐาน!B34)+MIN(สมมติฐาน!B35,(MIN(MAX(0,สมมติฐาน!B32*(1-สมมติฐาน!B8)^(7-1)-สมมติฐาน!B34),สมมติฐาน!B12*สมมติฐาน!B14))*สมมติฐาน!B15))*365</f>
        <v>5902.2</v>
      </c>
      <c r="K11" s="12">
        <f>MAX(0,MAX(0,สมมติฐาน!B32*(1-สมมติฐาน!B8)^(7-1)-สมมติฐาน!B34)-สมมติฐาน!B12*สมมติฐาน!B14)*365</f>
        <v>1007.2658097794989</v>
      </c>
      <c r="L11" s="12">
        <f>((MIN(สมมติฐาน!B32*(1-สมมติฐาน!B8)^(7-1),สมมติฐาน!B34)+MIN(สมมติฐาน!B35,(MIN(MAX(0,สมมติฐาน!B32*(1-สมมติฐาน!B8)^(7-1)-สมมติฐาน!B34),สมมติฐาน!B12*สมมติฐาน!B14))*สมมติฐาน!B15))*สมมติฐาน!B21*(1+สมมติฐาน!B22)^(7-1)+MAX(0,MAX(0,สมมติฐาน!B32*(1-สมมติฐาน!B8)^(7-1)-สมมติฐาน!B34)-สมมติฐาน!B12*สมมติฐาน!B14)*สมมติฐาน!B25)*365</f>
        <v>33929.894372095485</v>
      </c>
      <c r="M11" s="12">
        <f>L11-สมมติฐาน!B28</f>
        <v>30429.894372095485</v>
      </c>
      <c r="N11" s="12">
        <f t="shared" si="1"/>
        <v>-18794.742244864166</v>
      </c>
      <c r="P11" s="12">
        <f>-สมมติฐาน!B33*365*สมมติฐาน!B21*(1+สมมติฐาน!B22)^(7-1)</f>
        <v>-38687.294407539601</v>
      </c>
      <c r="Q11" s="12">
        <f t="shared" si="2"/>
        <v>-248263.77465885959</v>
      </c>
    </row>
    <row r="12" spans="1:17" ht="15.75" customHeight="1" x14ac:dyDescent="0.35">
      <c r="A12" s="13">
        <v>8</v>
      </c>
      <c r="B12" s="14">
        <f>สมมติฐาน!B32*(1-สมมติฐาน!B8)^(8-1)*365</f>
        <v>7136.4044807306018</v>
      </c>
      <c r="C12" s="14">
        <f>MIN(สมมติฐาน!B32*(1-สมมติฐาน!B8)^(8-1),สมมติฐาน!B34)*365</f>
        <v>2880</v>
      </c>
      <c r="D12" s="14">
        <f>MAX(0,สมมติฐาน!B32*(1-สมมติฐาน!B8)^(8-1)-สมมติฐาน!B34)*365</f>
        <v>4256.4044807306018</v>
      </c>
      <c r="E12" s="14">
        <f>(MIN(สมมติฐาน!B32*(1-สมมติฐาน!B8)^(8-1),สมมติฐาน!B34)*สมมติฐาน!B21*(1+สมมติฐาน!B22)^(8-1)+MAX(0,สมมติฐาน!B32*(1-สมมติฐาน!B8)^(8-1)-สมมติฐาน!B34)*สมมติฐาน!B25)*365</f>
        <v>25303.255153513641</v>
      </c>
      <c r="F12" s="14">
        <f>E12-สมมติฐาน!B28</f>
        <v>21803.255153513641</v>
      </c>
      <c r="G12" s="14">
        <f t="shared" si="0"/>
        <v>29388.793495593131</v>
      </c>
      <c r="I12" s="14">
        <f>สมมติฐาน!B32*(1-สมมติฐาน!B8)^(8-1)*365</f>
        <v>7136.4044807306018</v>
      </c>
      <c r="J12" s="14">
        <f>(MIN(สมมติฐาน!B32*(1-สมมติฐาน!B8)^(8-1),สมมติฐาน!B34)+MIN(สมมติฐาน!B35,(MIN(MAX(0,สมมติฐาน!B32*(1-สมมติฐาน!B8)^(8-1)-สมมติฐาน!B34),สมมติฐาน!B12*สมมติฐาน!B14))*สมมติฐาน!B15))*365</f>
        <v>5902.2</v>
      </c>
      <c r="K12" s="14">
        <f>MAX(0,MAX(0,สมมติฐาน!B32*(1-สมมติฐาน!B8)^(8-1)-สมมติฐาน!B34)-สมมติฐาน!B12*สมมติฐาน!B14)*365</f>
        <v>971.40448073060168</v>
      </c>
      <c r="L12" s="14">
        <f>((MIN(สมมติฐาน!B32*(1-สมมติฐาน!B8)^(8-1),สมมติฐาน!B34)+MIN(สมมติฐาน!B35,(MIN(MAX(0,สมมติฐาน!B32*(1-สมมติฐาน!B8)^(8-1)-สมมติฐาน!B34),สมมติฐาน!B12*สมมติฐาน!B14))*สมมติฐาน!B15))*สมมติฐาน!B21*(1+สมมติฐาน!B22)^(8-1)+MAX(0,MAX(0,สมมติฐาน!B32*(1-สมมติฐาน!B8)^(8-1)-สมมติฐาน!B34)-สมมติฐาน!B12*สมมติฐาน!B14)*สมมติฐาน!B25)*365</f>
        <v>34802.416735905332</v>
      </c>
      <c r="M12" s="14">
        <f>L12-สมมติฐาน!B28</f>
        <v>31302.416735905332</v>
      </c>
      <c r="N12" s="14">
        <f t="shared" si="1"/>
        <v>12507.674491041165</v>
      </c>
      <c r="P12" s="14">
        <f>-สมมติฐาน!B33*365*สมมติฐาน!B21*(1+สมมติฐาน!B22)^(8-1)</f>
        <v>-39847.913239765789</v>
      </c>
      <c r="Q12" s="14">
        <f t="shared" si="2"/>
        <v>-288111.68789862539</v>
      </c>
    </row>
    <row r="13" spans="1:17" ht="15.75" customHeight="1" x14ac:dyDescent="0.35">
      <c r="A13" s="11">
        <v>9</v>
      </c>
      <c r="B13" s="12">
        <f>สมมติฐาน!B32*(1-สมมติฐาน!B8)^(9-1)*365</f>
        <v>7100.7224583269481</v>
      </c>
      <c r="C13" s="12">
        <f>MIN(สมมติฐาน!B32*(1-สมมติฐาน!B8)^(9-1),สมมติฐาน!B34)*365</f>
        <v>2880</v>
      </c>
      <c r="D13" s="12">
        <f>MAX(0,สมมติฐาน!B32*(1-สมมติฐาน!B8)^(9-1)-สมมติฐาน!B34)*365</f>
        <v>4220.7224583269481</v>
      </c>
      <c r="E13" s="12">
        <f>(MIN(สมมติฐาน!B32*(1-สมมติฐาน!B8)^(9-1),สมมติฐาน!B34)*สมมติฐาน!B21*(1+สมมติฐาน!B22)^(9-1)+MAX(0,สมมติฐาน!B32*(1-สมมติฐาน!B8)^(9-1)-สมมติฐาน!B34)*สมมติฐาน!B25)*365</f>
        <v>25702.929663102786</v>
      </c>
      <c r="F13" s="12">
        <f>E13-สมมติฐาน!B28</f>
        <v>22202.929663102786</v>
      </c>
      <c r="G13" s="12">
        <f t="shared" si="0"/>
        <v>51591.723158695917</v>
      </c>
      <c r="I13" s="12">
        <f>สมมติฐาน!B32*(1-สมมติฐาน!B8)^(9-1)*365</f>
        <v>7100.7224583269481</v>
      </c>
      <c r="J13" s="12">
        <f>(MIN(สมมติฐาน!B32*(1-สมมติฐาน!B8)^(9-1),สมมติฐาน!B34)+MIN(สมมติฐาน!B35,(MIN(MAX(0,สมมติฐาน!B32*(1-สมมติฐาน!B8)^(9-1)-สมมติฐาน!B34),สมมติฐาน!B12*สมมติฐาน!B14))*สมมติฐาน!B15))*365</f>
        <v>5902.2</v>
      </c>
      <c r="K13" s="12">
        <f>MAX(0,MAX(0,สมมติฐาน!B32*(1-สมมติฐาน!B8)^(9-1)-สมมติฐาน!B34)-สมมติฐาน!B12*สมมติฐาน!B14)*365</f>
        <v>935.72245832694819</v>
      </c>
      <c r="L13" s="12">
        <f>((MIN(สมมติฐาน!B32*(1-สมมติฐาน!B8)^(9-1),สมมติฐาน!B34)+MIN(สมมติฐาน!B35,(MIN(MAX(0,สมมติฐาน!B32*(1-สมมติฐาน!B8)^(9-1)-สมมติฐาน!B34),สมมติฐาน!B12*สมมติฐาน!B14))*สมมติฐาน!B15))*สมมติฐาน!B21*(1+สมมติฐาน!B22)^(9-1)+MAX(0,MAX(0,สมมติฐาน!B32*(1-สมมติฐาน!B8)^(9-1)-สมมติฐาน!B34)-สมมติฐาน!B12*สมมติฐาน!B14)*สมมติฐาน!B25)*365</f>
        <v>35703.876092966231</v>
      </c>
      <c r="M13" s="12">
        <f>L13-สมมติฐาน!B28</f>
        <v>32203.876092966231</v>
      </c>
      <c r="N13" s="12">
        <f t="shared" si="1"/>
        <v>44711.550584007397</v>
      </c>
      <c r="P13" s="12">
        <f>-สมมติฐาน!B33*365*สมมติฐาน!B21*(1+สมมติฐาน!B22)^(9-1)</f>
        <v>-41043.350636958756</v>
      </c>
      <c r="Q13" s="12">
        <f t="shared" si="2"/>
        <v>-329155.03853558411</v>
      </c>
    </row>
    <row r="14" spans="1:17" ht="15.75" customHeight="1" x14ac:dyDescent="0.35">
      <c r="A14" s="13">
        <v>10</v>
      </c>
      <c r="B14" s="14">
        <f>สมมติฐาน!B32*(1-สมมติฐาน!B8)^(10-1)*365</f>
        <v>7065.2188460353127</v>
      </c>
      <c r="C14" s="14">
        <f>MIN(สมมติฐาน!B32*(1-สมมติฐาน!B8)^(10-1),สมมติฐาน!B34)*365</f>
        <v>2880</v>
      </c>
      <c r="D14" s="14">
        <f>MAX(0,สมมติฐาน!B32*(1-สมมติฐาน!B8)^(10-1)-สมมติฐาน!B34)*365</f>
        <v>4185.2188460353127</v>
      </c>
      <c r="E14" s="14">
        <f>(MIN(สมมติฐาน!B32*(1-สมมติฐาน!B8)^(10-1),สมมติฐาน!B34)*สมมติฐาน!B21*(1+สมมติฐาน!B22)^(10-1)+MAX(0,สมมติฐาน!B32*(1-สมมติฐาน!B8)^(10-1)-สมมติฐาน!B34)*สมมติฐาน!B25)*365</f>
        <v>26117.341923704698</v>
      </c>
      <c r="F14" s="14">
        <f>E14-สมมติฐาน!B28</f>
        <v>22617.341923704698</v>
      </c>
      <c r="G14" s="14">
        <f t="shared" si="0"/>
        <v>74209.065082400615</v>
      </c>
      <c r="I14" s="14">
        <f>สมมติฐาน!B32*(1-สมมติฐาน!B8)^(10-1)*365</f>
        <v>7065.2188460353127</v>
      </c>
      <c r="J14" s="14">
        <f>(MIN(สมมติฐาน!B32*(1-สมมติฐาน!B8)^(10-1),สมมติฐาน!B34)+MIN(สมมติฐาน!B35,(MIN(MAX(0,สมมติฐาน!B32*(1-สมมติฐาน!B8)^(10-1)-สมมติฐาน!B34),สมมติฐาน!B12*สมมติฐาน!B14))*สมมติฐาน!B15))*365</f>
        <v>5902.2</v>
      </c>
      <c r="K14" s="14">
        <f>MAX(0,MAX(0,สมมติฐาน!B32*(1-สมมติฐาน!B8)^(10-1)-สมมติฐาน!B34)-สมมติฐาน!B12*สมมติฐาน!B14)*365</f>
        <v>900.21884603531305</v>
      </c>
      <c r="L14" s="14">
        <f>((MIN(สมมติฐาน!B32*(1-สมมติฐาน!B8)^(10-1),สมมติฐาน!B34)+MIN(สมมติฐาน!B35,(MIN(MAX(0,สมมติฐาน!B32*(1-สมมติฐาน!B8)^(10-1)-สมมติฐาน!B34),สมมติฐาน!B12*สมมติฐาน!B14))*สมมติฐาน!B15))*สมมติฐาน!B21*(1+สมมติฐาน!B22)^(10-1)+MAX(0,MAX(0,สมมติฐาน!B32*(1-สมมติฐาน!B8)^(10-1)-สมมติฐาน!B34)-สมมติฐาน!B12*สมมติฐาน!B14)*สมมติฐาน!B25)*365</f>
        <v>36635.12674646404</v>
      </c>
      <c r="M14" s="14">
        <f>L14-สมมติฐาน!B28</f>
        <v>33135.12674646404</v>
      </c>
      <c r="N14" s="14">
        <f t="shared" si="1"/>
        <v>77846.67733047143</v>
      </c>
      <c r="P14" s="14">
        <f>-สมมติฐาน!B33*365*สมมติฐาน!B21*(1+สมมติฐาน!B22)^(10-1)</f>
        <v>-42274.651156067521</v>
      </c>
      <c r="Q14" s="14">
        <f t="shared" si="2"/>
        <v>-371429.68969165161</v>
      </c>
    </row>
    <row r="15" spans="1:17" ht="15.75" customHeight="1" x14ac:dyDescent="0.35">
      <c r="A15" s="11">
        <v>11</v>
      </c>
      <c r="B15" s="12">
        <f>สมมติฐาน!B32*(1-สมมติฐาน!B8)^(11-1)*365</f>
        <v>7029.8927518051378</v>
      </c>
      <c r="C15" s="12">
        <f>MIN(สมมติฐาน!B32*(1-สมมติฐาน!B8)^(11-1),สมมติฐาน!B34)*365</f>
        <v>2880</v>
      </c>
      <c r="D15" s="12">
        <f>MAX(0,สมมติฐาน!B32*(1-สมมติฐาน!B8)^(11-1)-สมมติฐาน!B34)*365</f>
        <v>4149.8927518051378</v>
      </c>
      <c r="E15" s="12">
        <f>(MIN(สมมติฐาน!B32*(1-สมมติฐาน!B8)^(11-1),สมมติฐาน!B34)*สมมติฐาน!B21*(1+สมมติฐาน!B22)^(11-1)+MAX(0,สมมติฐาน!B32*(1-สมมติฐาน!B8)^(11-1)-สมมติฐาน!B34)*สมมติฐาน!B25)*365</f>
        <v>26546.920330271121</v>
      </c>
      <c r="F15" s="12">
        <f>E15-สมมติฐาน!B28</f>
        <v>23046.920330271121</v>
      </c>
      <c r="G15" s="12">
        <f t="shared" si="0"/>
        <v>97255.98541267174</v>
      </c>
      <c r="I15" s="12">
        <f>สมมติฐาน!B32*(1-สมมติฐาน!B8)^(11-1)*365</f>
        <v>7029.8927518051378</v>
      </c>
      <c r="J15" s="12">
        <f>(MIN(สมมติฐาน!B32*(1-สมมติฐาน!B8)^(11-1),สมมติฐาน!B34)+MIN(สมมติฐาน!B35,(MIN(MAX(0,สมมติฐาน!B32*(1-สมมติฐาน!B8)^(11-1)-สมมติฐาน!B34),สมมติฐาน!B12*สมมติฐาน!B14))*สมมติฐาน!B15))*365</f>
        <v>5902.2</v>
      </c>
      <c r="K15" s="12">
        <f>MAX(0,MAX(0,สมมติฐาน!B32*(1-สมมติฐาน!B8)^(11-1)-สมมติฐาน!B34)-สมมติฐาน!B12*สมมติฐาน!B14)*365</f>
        <v>864.89275180513766</v>
      </c>
      <c r="L15" s="12">
        <f>((MIN(สมมติฐาน!B32*(1-สมมติฐาน!B8)^(11-1),สมมติฐาน!B34)+MIN(สมมติฐาน!B35,(MIN(MAX(0,สมมติฐาน!B32*(1-สมมติฐาน!B8)^(11-1)-สมมติฐาน!B34),สมมติฐาน!B12*สมมติฐาน!B14))*สมมติฐาน!B15))*สมมติฐาน!B21*(1+สมมติฐาน!B22)^(11-1)+MAX(0,MAX(0,สมมติฐาน!B32*(1-สมมติฐาน!B8)^(11-1)-สมมติฐาน!B34)-สมมติฐาน!B12*สมมติฐาน!B14)*สมมติฐาน!B25)*365</f>
        <v>37597.048697713246</v>
      </c>
      <c r="M15" s="12">
        <f>L15-สมมติฐาน!B28-สมมติฐาน!B13</f>
        <v>-45902.951302286754</v>
      </c>
      <c r="N15" s="12">
        <f t="shared" si="1"/>
        <v>31943.726028184676</v>
      </c>
      <c r="P15" s="12">
        <f>-สมมติฐาน!B33*365*สมมติฐาน!B21*(1+สมมติฐาน!B22)^(11-1)</f>
        <v>-43542.890690749548</v>
      </c>
      <c r="Q15" s="12">
        <f t="shared" si="2"/>
        <v>-414972.58038240118</v>
      </c>
    </row>
    <row r="16" spans="1:17" ht="15.75" customHeight="1" x14ac:dyDescent="0.35">
      <c r="A16" s="13">
        <v>12</v>
      </c>
      <c r="B16" s="14">
        <f>สมมติฐาน!B32*(1-สมมติฐาน!B8)^(12-1)*365</f>
        <v>6994.743288046112</v>
      </c>
      <c r="C16" s="14">
        <f>MIN(สมมติฐาน!B32*(1-สมมติฐาน!B8)^(12-1),สมมติฐาน!B34)*365</f>
        <v>2880</v>
      </c>
      <c r="D16" s="14">
        <f>MAX(0,สมมติฐาน!B32*(1-สมมติฐาน!B8)^(12-1)-สมมติฐาน!B34)*365</f>
        <v>4114.743288046112</v>
      </c>
      <c r="E16" s="14">
        <f>(MIN(สมมติฐาน!B32*(1-สมมติฐาน!B8)^(12-1),สมมติฐาน!B34)*สมมติฐาน!B21*(1+สมมติฐาน!B22)^(12-1)+MAX(0,สมมติฐาน!B32*(1-สมมติฐาน!B8)^(12-1)-สมมติฐาน!B34)*สมมติฐาน!B25)*365</f>
        <v>26992.106198290257</v>
      </c>
      <c r="F16" s="14">
        <f>E16-สมมติฐาน!B28</f>
        <v>23492.106198290257</v>
      </c>
      <c r="G16" s="14">
        <f t="shared" si="0"/>
        <v>120748.091610962</v>
      </c>
      <c r="I16" s="14">
        <f>สมมติฐาน!B32*(1-สมมติฐาน!B8)^(12-1)*365</f>
        <v>6994.743288046112</v>
      </c>
      <c r="J16" s="14">
        <f>(MIN(สมมติฐาน!B32*(1-สมมติฐาน!B8)^(12-1),สมมติฐาน!B34)+MIN(สมมติฐาน!B35,(MIN(MAX(0,สมมติฐาน!B32*(1-สมมติฐาน!B8)^(12-1)-สมมติฐาน!B34),สมมติฐาน!B12*สมมติฐาน!B14))*สมมติฐาน!B15))*365</f>
        <v>5902.2</v>
      </c>
      <c r="K16" s="14">
        <f>MAX(0,MAX(0,สมมติฐาน!B32*(1-สมมติฐาน!B8)^(12-1)-สมมติฐาน!B34)-สมมติฐาน!B12*สมมติฐาน!B14)*365</f>
        <v>829.74328804611184</v>
      </c>
      <c r="L16" s="14">
        <f>((MIN(สมมติฐาน!B32*(1-สมมติฐาน!B8)^(12-1),สมมติฐาน!B34)+MIN(สมมติฐาน!B35,(MIN(MAX(0,สมมติฐาน!B32*(1-สมมติฐาน!B8)^(12-1)-สมมติฐาน!B34),สมมติฐาน!B12*สมมติฐาน!B14))*สมมติฐาน!B15))*สมมติฐาน!B21*(1+สมมติฐาน!B22)^(12-1)+MAX(0,MAX(0,สมมติฐาน!B32*(1-สมมติฐาน!B8)^(12-1)-สมมติฐาน!B34)-สมมติฐาน!B12*สมมติฐาน!B14)*สมมติฐาน!B25)*365</f>
        <v>38590.54841675565</v>
      </c>
      <c r="M16" s="14">
        <f>L16-สมมติฐาน!B28</f>
        <v>35090.54841675565</v>
      </c>
      <c r="N16" s="14">
        <f t="shared" si="1"/>
        <v>67034.274444940325</v>
      </c>
      <c r="P16" s="14">
        <f>-สมมติฐาน!B33*365*สมมติฐาน!B21*(1+สมมติฐาน!B22)^(12-1)</f>
        <v>-44849.177411472032</v>
      </c>
      <c r="Q16" s="14">
        <f t="shared" si="2"/>
        <v>-459821.7577938732</v>
      </c>
    </row>
    <row r="17" spans="1:17" ht="15.75" customHeight="1" x14ac:dyDescent="0.35">
      <c r="A17" s="11">
        <v>13</v>
      </c>
      <c r="B17" s="12">
        <f>สมมติฐาน!B32*(1-สมมติฐาน!B8)^(13-1)*365</f>
        <v>6959.7695716058815</v>
      </c>
      <c r="C17" s="12">
        <f>MIN(สมมติฐาน!B32*(1-สมมติฐาน!B8)^(13-1),สมมติฐาน!B34)*365</f>
        <v>2880</v>
      </c>
      <c r="D17" s="12">
        <f>MAX(0,สมมติฐาน!B32*(1-สมมติฐาน!B8)^(13-1)-สมมติฐาน!B34)*365</f>
        <v>4079.769571605882</v>
      </c>
      <c r="E17" s="12">
        <f>(MIN(สมมติฐาน!B32*(1-สมมติฐาน!B8)^(13-1),สมมติฐาน!B34)*สมมติฐาน!B21*(1+สมมติฐาน!B22)^(13-1)+MAX(0,สมมติฐาน!B32*(1-สมมติฐาน!B8)^(13-1)-สมมติฐาน!B34)*สมมติฐาน!B25)*365</f>
        <v>27453.354151059415</v>
      </c>
      <c r="F17" s="12">
        <f>E17-สมมติฐาน!B28</f>
        <v>23953.354151059415</v>
      </c>
      <c r="G17" s="12">
        <f t="shared" si="0"/>
        <v>144701.44576202141</v>
      </c>
      <c r="I17" s="12">
        <f>สมมติฐาน!B32*(1-สมมติฐาน!B8)^(13-1)*365</f>
        <v>6959.7695716058815</v>
      </c>
      <c r="J17" s="12">
        <f>(MIN(สมมติฐาน!B32*(1-สมมติฐาน!B8)^(13-1),สมมติฐาน!B34)+MIN(สมมติฐาน!B35,(MIN(MAX(0,สมมติฐาน!B32*(1-สมมติฐาน!B8)^(13-1)-สมมติฐาน!B34),สมมติฐาน!B12*สมมติฐาน!B14))*สมมติฐาน!B15))*365</f>
        <v>5902.2</v>
      </c>
      <c r="K17" s="12">
        <f>MAX(0,MAX(0,สมมติฐาน!B32*(1-สมมติฐาน!B8)^(13-1)-สมมติฐาน!B34)-สมมติฐาน!B12*สมมติฐาน!B14)*365</f>
        <v>794.76957160588188</v>
      </c>
      <c r="L17" s="12">
        <f>((MIN(สมมติฐาน!B32*(1-สมมติฐาน!B8)^(13-1),สมมติฐาน!B34)+MIN(สมมติฐาน!B35,(MIN(MAX(0,สมมติฐาน!B32*(1-สมมติฐาน!B8)^(13-1)-สมมติฐาน!B34),สมมติฐาน!B12*สมมติฐาน!B14))*สมมติฐาน!B15))*สมมติฐาน!B21*(1+สมมติฐาน!B22)^(13-1)+MAX(0,MAX(0,สมมติฐาน!B32*(1-สมมติฐาน!B8)^(13-1)-สมมติฐาน!B34)-สมมติฐาน!B12*สมมติฐาน!B14)*สมมติฐาน!B25)*365</f>
        <v>39616.559636078768</v>
      </c>
      <c r="M17" s="12">
        <f>L17-สมมติฐาน!B28</f>
        <v>36116.559636078768</v>
      </c>
      <c r="N17" s="12">
        <f t="shared" si="1"/>
        <v>103150.8340810191</v>
      </c>
      <c r="P17" s="12">
        <f>-สมมติฐาน!B33*365*สมมติฐาน!B21*(1+สมมติฐาน!B22)^(13-1)</f>
        <v>-46194.65273381619</v>
      </c>
      <c r="Q17" s="12">
        <f t="shared" si="2"/>
        <v>-506016.41052768938</v>
      </c>
    </row>
    <row r="18" spans="1:17" ht="15.75" customHeight="1" x14ac:dyDescent="0.35">
      <c r="A18" s="13">
        <v>14</v>
      </c>
      <c r="B18" s="14">
        <f>สมมติฐาน!B32*(1-สมมติฐาน!B8)^(14-1)*365</f>
        <v>6924.9707237478515</v>
      </c>
      <c r="C18" s="14">
        <f>MIN(สมมติฐาน!B32*(1-สมมติฐาน!B8)^(14-1),สมมติฐาน!B34)*365</f>
        <v>2880</v>
      </c>
      <c r="D18" s="14">
        <f>MAX(0,สมมติฐาน!B32*(1-สมมติฐาน!B8)^(14-1)-สมมติฐาน!B34)*365</f>
        <v>4044.9707237478519</v>
      </c>
      <c r="E18" s="14">
        <f>(MIN(สมมติฐาน!B32*(1-สมมติฐาน!B8)^(14-1),สมมติฐาน!B34)*สมมติฐาน!B21*(1+สมมติฐาน!B22)^(14-1)+MAX(0,สมมติฐาน!B32*(1-สมมติฐาน!B8)^(14-1)-สมมติฐาน!B34)*สมมติฐาน!B25)*365</f>
        <v>27931.132518577546</v>
      </c>
      <c r="F18" s="14">
        <f>E18-สมมติฐาน!B28</f>
        <v>24431.132518577546</v>
      </c>
      <c r="G18" s="14">
        <f t="shared" si="0"/>
        <v>169132.57828059894</v>
      </c>
      <c r="I18" s="14">
        <f>สมมติฐาน!B32*(1-สมมติฐาน!B8)^(14-1)*365</f>
        <v>6924.9707237478515</v>
      </c>
      <c r="J18" s="14">
        <f>(MIN(สมมติฐาน!B32*(1-สมมติฐาน!B8)^(14-1),สมมติฐาน!B34)+MIN(สมมติฐาน!B35,(MIN(MAX(0,สมมติฐาน!B32*(1-สมมติฐาน!B8)^(14-1)-สมมติฐาน!B34),สมมติฐาน!B12*สมมติฐาน!B14))*สมมติฐาน!B15))*365</f>
        <v>5902.2</v>
      </c>
      <c r="K18" s="14">
        <f>MAX(0,MAX(0,สมมติฐาน!B32*(1-สมมติฐาน!B8)^(14-1)-สมมติฐาน!B34)-สมมติฐาน!B12*สมมติฐาน!B14)*365</f>
        <v>759.97072374785205</v>
      </c>
      <c r="L18" s="14">
        <f>((MIN(สมมติฐาน!B32*(1-สมมติฐาน!B8)^(14-1),สมมติฐาน!B34)+MIN(สมมติฐาน!B35,(MIN(MAX(0,สมมติฐาน!B32*(1-สมมติฐาน!B8)^(14-1)-สมมติฐาน!B34),สมมติฐาน!B12*สมมติฐาน!B14))*สมมติฐาน!B15))*สมมติฐาน!B21*(1+สมมติฐาน!B22)^(14-1)+MAX(0,MAX(0,สมมติฐาน!B32*(1-สมมติฐาน!B8)^(14-1)-สมมติฐาน!B34)-สมมติฐาน!B12*สมมติฐาน!B14)*สมมติฐาน!B25)*365</f>
        <v>40676.044168147469</v>
      </c>
      <c r="M18" s="14">
        <f>L18-สมมติฐาน!B28</f>
        <v>37176.044168147469</v>
      </c>
      <c r="N18" s="14">
        <f t="shared" si="1"/>
        <v>140326.87824916656</v>
      </c>
      <c r="P18" s="14">
        <f>-สมมติฐาน!B33*365*สมมติฐาน!B21*(1+สมมติฐาน!B22)^(14-1)</f>
        <v>-47580.49231583067</v>
      </c>
      <c r="Q18" s="14">
        <f t="shared" si="2"/>
        <v>-553596.90284352005</v>
      </c>
    </row>
    <row r="19" spans="1:17" ht="15.75" customHeight="1" x14ac:dyDescent="0.35">
      <c r="A19" s="11">
        <v>15</v>
      </c>
      <c r="B19" s="12">
        <f>สมมติฐาน!B32*(1-สมมติฐาน!B8)^(15-1)*365</f>
        <v>6890.3458701291129</v>
      </c>
      <c r="C19" s="12">
        <f>MIN(สมมติฐาน!B32*(1-สมมติฐาน!B8)^(15-1),สมมติฐาน!B34)*365</f>
        <v>2880</v>
      </c>
      <c r="D19" s="12">
        <f>MAX(0,สมมติฐาน!B32*(1-สมมติฐาน!B8)^(15-1)-สมมติฐาน!B34)*365</f>
        <v>4010.3458701291129</v>
      </c>
      <c r="E19" s="12">
        <f>(MIN(สมมติฐาน!B32*(1-สมมติฐาน!B8)^(15-1),สมมติฐาน!B34)*สมมติฐาน!B21*(1+สมมติฐาน!B22)^(15-1)+MAX(0,สมมติฐาน!B32*(1-สมมติฐาน!B8)^(15-1)-สมมติฐาน!B34)*สมมติฐาน!B25)*365</f>
        <v>28425.923748406291</v>
      </c>
      <c r="F19" s="12">
        <f>E19-สมมติฐาน!B28</f>
        <v>24925.923748406291</v>
      </c>
      <c r="G19" s="12">
        <f t="shared" si="0"/>
        <v>194058.50202900523</v>
      </c>
      <c r="I19" s="12">
        <f>สมมติฐาน!B32*(1-สมมติฐาน!B8)^(15-1)*365</f>
        <v>6890.3458701291129</v>
      </c>
      <c r="J19" s="12">
        <f>(MIN(สมมติฐาน!B32*(1-สมมติฐาน!B8)^(15-1),สมมติฐาน!B34)+MIN(สมมติฐาน!B35,(MIN(MAX(0,สมมติฐาน!B32*(1-สมมติฐาน!B8)^(15-1)-สมมติฐาน!B34),สมมติฐาน!B12*สมมติฐาน!B14))*สมมติฐาน!B15))*365</f>
        <v>5902.2</v>
      </c>
      <c r="K19" s="12">
        <f>MAX(0,MAX(0,สมมติฐาน!B32*(1-สมมติฐาน!B8)^(15-1)-สมมติฐาน!B34)-สมมติฐาน!B12*สมมติฐาน!B14)*365</f>
        <v>725.345870129113</v>
      </c>
      <c r="L19" s="12">
        <f>((MIN(สมมติฐาน!B32*(1-สมมติฐาน!B8)^(15-1),สมมติฐาน!B34)+MIN(สมมติฐาน!B35,(MIN(MAX(0,สมมติฐาน!B32*(1-สมมติฐาน!B8)^(15-1)-สมมติฐาน!B34),สมมติฐาน!B12*สมมติฐาน!B14))*สมมติฐาน!B15))*สมมติฐาน!B21*(1+สมมติฐาน!B22)^(15-1)+MAX(0,MAX(0,สมมติฐาน!B32*(1-สมมติฐาน!B8)^(15-1)-สมมติฐาน!B34)-สมมติฐาน!B12*สมมติฐาน!B14)*สมมติฐาน!B25)*365</f>
        <v>41769.992747463315</v>
      </c>
      <c r="M19" s="12">
        <f>L19-สมมติฐาน!B28</f>
        <v>38269.992747463315</v>
      </c>
      <c r="N19" s="12">
        <f t="shared" si="1"/>
        <v>178596.87099662988</v>
      </c>
      <c r="P19" s="12">
        <f>-สมมติฐาน!B33*365*สมมติฐาน!B21*(1+สมมติฐาน!B22)^(15-1)</f>
        <v>-49007.907085305596</v>
      </c>
      <c r="Q19" s="12">
        <f t="shared" si="2"/>
        <v>-602604.80992882559</v>
      </c>
    </row>
    <row r="20" spans="1:17" ht="15.75" customHeight="1" x14ac:dyDescent="0.35">
      <c r="A20" s="13">
        <v>16</v>
      </c>
      <c r="B20" s="14">
        <f>สมมติฐาน!B32*(1-สมมติฐาน!B8)^(16-1)*365</f>
        <v>6855.8941407784669</v>
      </c>
      <c r="C20" s="14">
        <f>MIN(สมมติฐาน!B32*(1-สมมติฐาน!B8)^(16-1),สมมติฐาน!B34)*365</f>
        <v>2880</v>
      </c>
      <c r="D20" s="14">
        <f>MAX(0,สมมติฐาน!B32*(1-สมมติฐาน!B8)^(16-1)-สมมติฐาน!B34)*365</f>
        <v>3975.8941407784669</v>
      </c>
      <c r="E20" s="14">
        <f>(MIN(สมมติฐาน!B32*(1-สมมติฐาน!B8)^(16-1),สมมติฐาน!B34)*สมมติฐาน!B21*(1+สมมติฐาน!B22)^(16-1)+MAX(0,สมมติฐาน!B32*(1-สมมติฐาน!B8)^(16-1)-สมมติฐาน!B34)*สมมติฐาน!B25)*365</f>
        <v>28938.224828858532</v>
      </c>
      <c r="F20" s="14">
        <f>E20-สมมติฐาน!B28</f>
        <v>25438.224828858532</v>
      </c>
      <c r="G20" s="14">
        <f t="shared" si="0"/>
        <v>219496.72685786377</v>
      </c>
      <c r="I20" s="14">
        <f>สมมติฐาน!B32*(1-สมมติฐาน!B8)^(16-1)*365</f>
        <v>6855.8941407784669</v>
      </c>
      <c r="J20" s="14">
        <f>(MIN(สมมติฐาน!B32*(1-สมมติฐาน!B8)^(16-1),สมมติฐาน!B34)+MIN(สมมติฐาน!B35,(MIN(MAX(0,สมมติฐาน!B32*(1-สมมติฐาน!B8)^(16-1)-สมมติฐาน!B34),สมมติฐาน!B12*สมมติฐาน!B14))*สมมติฐาน!B15))*365</f>
        <v>5902.2</v>
      </c>
      <c r="K20" s="14">
        <f>MAX(0,MAX(0,สมมติฐาน!B32*(1-สมมติฐาน!B8)^(16-1)-สมมติฐาน!B34)-สมมติฐาน!B12*สมมติฐาน!B14)*365</f>
        <v>690.89414077846698</v>
      </c>
      <c r="L20" s="14">
        <f>((MIN(สมมติฐาน!B32*(1-สมมติฐาน!B8)^(16-1),สมมติฐาน!B34)+MIN(สมมติฐาน!B35,(MIN(MAX(0,สมมติฐาน!B32*(1-สมมติฐาน!B8)^(16-1)-สมมติฐาน!B34),สมมติฐาน!B12*สมมติฐาน!B14))*สมมติฐาน!B15))*สมมติฐาน!B21*(1+สมมติฐาน!B22)^(16-1)+MAX(0,MAX(0,สมมติฐาน!B32*(1-สมมติฐาน!B8)^(16-1)-สมมติฐาน!B34)-สมมติฐาน!B12*สมมติฐาน!B14)*สมมติฐาน!B25)*365</f>
        <v>42899.425897887275</v>
      </c>
      <c r="M20" s="14">
        <f>L20-สมมติฐาน!B28</f>
        <v>39399.425897887275</v>
      </c>
      <c r="N20" s="14">
        <f t="shared" si="1"/>
        <v>217996.29689451715</v>
      </c>
      <c r="P20" s="14">
        <f>-สมมติฐาน!B33*365*สมมติฐาน!B21*(1+สมมติฐาน!B22)^(16-1)</f>
        <v>-50478.144297864768</v>
      </c>
      <c r="Q20" s="14">
        <f t="shared" si="2"/>
        <v>-653082.95422669034</v>
      </c>
    </row>
    <row r="21" spans="1:17" ht="15.75" customHeight="1" x14ac:dyDescent="0.35">
      <c r="A21" s="11">
        <v>17</v>
      </c>
      <c r="B21" s="12">
        <f>สมมติฐาน!B32*(1-สมมติฐาน!B8)^(17-1)*365</f>
        <v>6821.6146700745749</v>
      </c>
      <c r="C21" s="12">
        <f>MIN(สมมติฐาน!B32*(1-สมมติฐาน!B8)^(17-1),สมมติฐาน!B34)*365</f>
        <v>2880</v>
      </c>
      <c r="D21" s="12">
        <f>MAX(0,สมมติฐาน!B32*(1-สมมติฐาน!B8)^(17-1)-สมมติฐาน!B34)*365</f>
        <v>3941.6146700745749</v>
      </c>
      <c r="E21" s="12">
        <f>(MIN(สมมติฐาน!B32*(1-สมมติฐาน!B8)^(17-1),สมมติฐาน!B34)*สมมติฐาน!B21*(1+สมมติฐาน!B22)^(17-1)+MAX(0,สมมติฐาน!B32*(1-สมมติฐาน!B8)^(17-1)-สมมติฐาน!B34)*สมมติฐาน!B25)*365</f>
        <v>29468.547724884345</v>
      </c>
      <c r="F21" s="12">
        <f>E21-สมมติฐาน!B28</f>
        <v>25968.547724884345</v>
      </c>
      <c r="G21" s="12">
        <f t="shared" si="0"/>
        <v>245465.27458274813</v>
      </c>
      <c r="I21" s="12">
        <f>สมมติฐาน!B32*(1-สมมติฐาน!B8)^(17-1)*365</f>
        <v>6821.6146700745749</v>
      </c>
      <c r="J21" s="12">
        <f>(MIN(สมมติฐาน!B32*(1-สมมติฐาน!B8)^(17-1),สมมติฐาน!B34)+MIN(สมมติฐาน!B35,(MIN(MAX(0,สมมติฐาน!B32*(1-สมมติฐาน!B8)^(17-1)-สมมติฐาน!B34),สมมติฐาน!B12*สมมติฐาน!B14))*สมมติฐาน!B15))*365</f>
        <v>5902.2</v>
      </c>
      <c r="K21" s="12">
        <f>MAX(0,MAX(0,สมมติฐาน!B32*(1-สมมติฐาน!B8)^(17-1)-สมมติฐาน!B34)-สมมติฐาน!B12*สมมติฐาน!B14)*365</f>
        <v>656.61467007457486</v>
      </c>
      <c r="L21" s="12">
        <f>((MIN(สมมติฐาน!B32*(1-สมมติฐาน!B8)^(17-1),สมมติฐาน!B34)+MIN(สมมติฐาน!B35,(MIN(MAX(0,สมมติฐาน!B32*(1-สมมติฐาน!B8)^(17-1)-สมมติฐาน!B34),สมมติฐาน!B12*สมมติฐาน!B14))*สมมติฐาน!B15))*สมมติฐาน!B21*(1+สมมติฐาน!B22)^(17-1)+MAX(0,MAX(0,สมมติฐาน!B32*(1-สมมติฐาน!B8)^(17-1)-สมมติฐาน!B34)-สมมติฐาน!B12*สมมติฐาน!B14)*สมมติฐาน!B25)*365</f>
        <v>44065.394825983938</v>
      </c>
      <c r="M21" s="12">
        <f>L21-สมมติฐาน!B28</f>
        <v>40565.394825983938</v>
      </c>
      <c r="N21" s="12">
        <f t="shared" si="1"/>
        <v>258561.69172050108</v>
      </c>
      <c r="P21" s="12">
        <f>-สมมติฐาน!B33*365*สมมติฐาน!B21*(1+สมมติฐาน!B22)^(17-1)</f>
        <v>-51992.488626800703</v>
      </c>
      <c r="Q21" s="12">
        <f t="shared" si="2"/>
        <v>-705075.44285349105</v>
      </c>
    </row>
    <row r="22" spans="1:17" ht="15.75" customHeight="1" x14ac:dyDescent="0.35">
      <c r="A22" s="13">
        <v>18</v>
      </c>
      <c r="B22" s="14">
        <f>สมมติฐาน!B32*(1-สมมติฐาน!B8)^(18-1)*365</f>
        <v>6787.5065967242008</v>
      </c>
      <c r="C22" s="14">
        <f>MIN(สมมติฐาน!B32*(1-สมมติฐาน!B8)^(18-1),สมมติฐาน!B34)*365</f>
        <v>2880</v>
      </c>
      <c r="D22" s="14">
        <f>MAX(0,สมมติฐาน!B32*(1-สมมติฐาน!B8)^(18-1)-สมมติฐาน!B34)*365</f>
        <v>3907.5065967242012</v>
      </c>
      <c r="E22" s="14">
        <f>(MIN(สมมติฐาน!B32*(1-สมมติฐาน!B8)^(18-1),สมมติฐาน!B34)*สมมติฐาน!B21*(1+สมมติฐาน!B22)^(18-1)+MAX(0,สมมติฐาน!B32*(1-สมมติฐาน!B8)^(18-1)-สมมติฐาน!B34)*สมมติฐาน!B25)*365</f>
        <v>30017.419827035133</v>
      </c>
      <c r="F22" s="14">
        <f>E22-สมมติฐาน!B28</f>
        <v>26517.419827035133</v>
      </c>
      <c r="G22" s="14">
        <f t="shared" si="0"/>
        <v>271982.69440978323</v>
      </c>
      <c r="I22" s="14">
        <f>สมมติฐาน!B32*(1-สมมติฐาน!B8)^(18-1)*365</f>
        <v>6787.5065967242008</v>
      </c>
      <c r="J22" s="14">
        <f>(MIN(สมมติฐาน!B32*(1-สมมติฐาน!B8)^(18-1),สมมติฐาน!B34)+MIN(สมมติฐาน!B35,(MIN(MAX(0,สมมติฐาน!B32*(1-สมมติฐาน!B8)^(18-1)-สมมติฐาน!B34),สมมติฐาน!B12*สมมติฐาน!B14))*สมมติฐาน!B15))*365</f>
        <v>5902.2</v>
      </c>
      <c r="K22" s="14">
        <f>MAX(0,MAX(0,สมมติฐาน!B32*(1-สมมติฐาน!B8)^(18-1)-สมมติฐาน!B34)-สมมติฐาน!B12*สมมติฐาน!B14)*365</f>
        <v>622.50659672420136</v>
      </c>
      <c r="L22" s="14">
        <f>((MIN(สมมติฐาน!B32*(1-สมมติฐาน!B8)^(18-1),สมมติฐาน!B34)+MIN(สมมติฐาน!B35,(MIN(MAX(0,สมมติฐาน!B32*(1-สมมติฐาน!B8)^(18-1)-สมมติฐาน!B34),สมมติฐาน!B12*สมมติฐาน!B14))*สมมติฐาน!B15))*สมมติฐาน!B21*(1+สมมติฐาน!B22)^(18-1)+MAX(0,MAX(0,สมมติฐาน!B32*(1-สมมติฐาน!B8)^(18-1)-สมมติฐาน!B34)-สมมติฐาน!B12*สมมติฐาน!B14)*สมมติฐาน!B25)*365</f>
        <v>45268.982341167721</v>
      </c>
      <c r="M22" s="14">
        <f>L22-สมมติฐาน!B28</f>
        <v>41768.982341167721</v>
      </c>
      <c r="N22" s="14">
        <f t="shared" si="1"/>
        <v>300330.6740616688</v>
      </c>
      <c r="P22" s="14">
        <f>-สมมติฐาน!B33*365*สมมติฐาน!B21*(1+สมมติฐาน!B22)^(18-1)</f>
        <v>-53552.26328560472</v>
      </c>
      <c r="Q22" s="14">
        <f t="shared" si="2"/>
        <v>-758627.70613909583</v>
      </c>
    </row>
    <row r="23" spans="1:17" ht="15.75" customHeight="1" x14ac:dyDescent="0.35">
      <c r="A23" s="11">
        <v>19</v>
      </c>
      <c r="B23" s="12">
        <f>สมมติฐาน!B32*(1-สมมติฐาน!B8)^(19-1)*365</f>
        <v>6753.5690637405805</v>
      </c>
      <c r="C23" s="12">
        <f>MIN(สมมติฐาน!B32*(1-สมมติฐาน!B8)^(19-1),สมมติฐาน!B34)*365</f>
        <v>2880</v>
      </c>
      <c r="D23" s="12">
        <f>MAX(0,สมมติฐาน!B32*(1-สมมติฐาน!B8)^(19-1)-สมมติฐาน!B34)*365</f>
        <v>3873.569063740581</v>
      </c>
      <c r="E23" s="12">
        <f>(MIN(สมมติฐาน!B32*(1-สมมติฐาน!B8)^(19-1),สมมติฐาน!B34)*สมมติฐาน!B21*(1+สมมติฐาน!B22)^(19-1)+MAX(0,สมมติฐาน!B32*(1-สมมติฐาน!B8)^(19-1)-สมมติฐาน!B34)*สมมติฐาน!B25)*365</f>
        <v>30585.384413898424</v>
      </c>
      <c r="F23" s="12">
        <f>E23-สมมติฐาน!B28</f>
        <v>27085.384413898424</v>
      </c>
      <c r="G23" s="12">
        <f t="shared" si="0"/>
        <v>299068.07882368163</v>
      </c>
      <c r="I23" s="12">
        <f>สมมติฐาน!B32*(1-สมมติฐาน!B8)^(19-1)*365</f>
        <v>6753.5690637405805</v>
      </c>
      <c r="J23" s="12">
        <f>(MIN(สมมติฐาน!B32*(1-สมมติฐาน!B8)^(19-1),สมมติฐาน!B34)+MIN(สมมติฐาน!B35,(MIN(MAX(0,สมมติฐาน!B32*(1-สมมติฐาน!B8)^(19-1)-สมมติฐาน!B34),สมมติฐาน!B12*สมมติฐาน!B14))*สมมติฐาน!B15))*365</f>
        <v>5902.2</v>
      </c>
      <c r="K23" s="12">
        <f>MAX(0,MAX(0,สมมติฐาน!B32*(1-สมมติฐาน!B8)^(19-1)-สมมติฐาน!B34)-สมมติฐาน!B12*สมมติฐาน!B14)*365</f>
        <v>588.56906374058099</v>
      </c>
      <c r="L23" s="12">
        <f>((MIN(สมมติฐาน!B32*(1-สมมติฐาน!B8)^(19-1),สมมติฐาน!B34)+MIN(สมมติฐาน!B35,(MIN(MAX(0,สมมติฐาน!B32*(1-สมมติฐาน!B8)^(19-1)-สมมติฐาน!B34),สมมติฐาน!B12*สมมติฐาน!B14))*สมมติฐาน!B15))*สมมติฐาน!B21*(1+สมมติฐาน!B22)^(19-1)+MAX(0,MAX(0,สมมติฐาน!B32*(1-สมมติฐาน!B8)^(19-1)-สมมติฐาน!B34)-สมมติฐาน!B12*สมมติฐาน!B14)*สมมติฐาน!B25)*365</f>
        <v>46511.30380345499</v>
      </c>
      <c r="M23" s="12">
        <f>L23-สมมติฐาน!B28</f>
        <v>43011.30380345499</v>
      </c>
      <c r="N23" s="12">
        <f t="shared" si="1"/>
        <v>343341.97786512377</v>
      </c>
      <c r="P23" s="12">
        <f>-สมมติฐาน!B33*365*สมมติฐาน!B21*(1+สมมติฐาน!B22)^(19-1)</f>
        <v>-55158.831184172865</v>
      </c>
      <c r="Q23" s="12">
        <f t="shared" si="2"/>
        <v>-813786.53732326871</v>
      </c>
    </row>
    <row r="24" spans="1:17" ht="15.75" customHeight="1" x14ac:dyDescent="0.35">
      <c r="A24" s="13">
        <v>20</v>
      </c>
      <c r="B24" s="14">
        <f>สมมติฐาน!B32*(1-สมมติฐาน!B8)^(20-1)*365</f>
        <v>6719.8012184218778</v>
      </c>
      <c r="C24" s="14">
        <f>MIN(สมมติฐาน!B32*(1-สมมติฐาน!B8)^(20-1),สมมติฐาน!B34)*365</f>
        <v>2880</v>
      </c>
      <c r="D24" s="14">
        <f>MAX(0,สมมติฐาน!B32*(1-สมมติฐาน!B8)^(20-1)-สมมติฐาน!B34)*365</f>
        <v>3839.8012184218783</v>
      </c>
      <c r="E24" s="14">
        <f>(MIN(สมมติฐาน!B32*(1-สมมติฐาน!B8)^(20-1),สมมติฐาน!B34)*สมมติฐาน!B21*(1+สมมติฐาน!B22)^(20-1)+MAX(0,สมมติฐาน!B32*(1-สมมติฐาน!B8)^(20-1)-สมมติฐาน!B34)*สมมติฐาน!B25)*365</f>
        <v>31173.001128407352</v>
      </c>
      <c r="F24" s="14">
        <f>E24-สมมติฐาน!B28</f>
        <v>27673.001128407352</v>
      </c>
      <c r="G24" s="14">
        <f t="shared" si="0"/>
        <v>326741.079952089</v>
      </c>
      <c r="I24" s="14">
        <f>สมมติฐาน!B32*(1-สมมติฐาน!B8)^(20-1)*365</f>
        <v>6719.8012184218778</v>
      </c>
      <c r="J24" s="14">
        <f>(MIN(สมมติฐาน!B32*(1-สมมติฐาน!B8)^(20-1),สมมติฐาน!B34)+MIN(สมมติฐาน!B35,(MIN(MAX(0,สมมติฐาน!B32*(1-สมมติฐาน!B8)^(20-1)-สมมติฐาน!B34),สมมติฐาน!B12*สมมติฐาน!B14))*สมมติฐาน!B15))*365</f>
        <v>5902.2</v>
      </c>
      <c r="K24" s="14">
        <f>MAX(0,MAX(0,สมมติฐาน!B32*(1-สมมติฐาน!B8)^(20-1)-สมมติฐาน!B34)-สมมติฐาน!B12*สมมติฐาน!B14)*365</f>
        <v>554.80121842187816</v>
      </c>
      <c r="L24" s="14">
        <f>((MIN(สมมติฐาน!B32*(1-สมมติฐาน!B8)^(20-1),สมมติฐาน!B34)+MIN(สมมติฐาน!B35,(MIN(MAX(0,สมมติฐาน!B32*(1-สมมติฐาน!B8)^(20-1)-สมมติฐาน!B34),สมมติฐาน!B12*สมมติฐาน!B14))*สมมติฐาน!B15))*สมมติฐาน!B21*(1+สมมติฐาน!B22)^(20-1)+MAX(0,MAX(0,สมมติฐาน!B32*(1-สมมติฐาน!B8)^(20-1)-สมมติฐาน!B34)-สมมติฐาน!B12*สมมติฐาน!B14)*สมมติฐาน!B25)*365</f>
        <v>47793.508099650608</v>
      </c>
      <c r="M24" s="14">
        <f>L24-สมมติฐาน!B28</f>
        <v>44293.508099650608</v>
      </c>
      <c r="N24" s="14">
        <f t="shared" si="1"/>
        <v>387635.48596477439</v>
      </c>
      <c r="P24" s="14">
        <f>-สมมติฐาน!B33*365*สมมติฐาน!B21*(1+สมมติฐาน!B22)^(20-1)</f>
        <v>-56813.59611969805</v>
      </c>
      <c r="Q24" s="14">
        <f t="shared" si="2"/>
        <v>-870600.13344296673</v>
      </c>
    </row>
    <row r="25" spans="1:17" ht="15.75" customHeight="1" x14ac:dyDescent="0.35">
      <c r="A25" s="11">
        <v>21</v>
      </c>
      <c r="B25" s="12">
        <f>สมมติฐาน!B32*(1-สมมติฐาน!B8)^(21-1)*365</f>
        <v>6686.2022123297684</v>
      </c>
      <c r="C25" s="12">
        <f>MIN(สมมติฐาน!B32*(1-สมมติฐาน!B8)^(21-1),สมมติฐาน!B34)*365</f>
        <v>2880</v>
      </c>
      <c r="D25" s="12">
        <f>MAX(0,สมมติฐาน!B32*(1-สมมติฐาน!B8)^(21-1)-สมมติฐาน!B34)*365</f>
        <v>3806.2022123297688</v>
      </c>
      <c r="E25" s="12">
        <f>(MIN(สมมติฐาน!B32*(1-สมมติฐาน!B8)^(21-1),สมมติฐาน!B34)*สมมติฐาน!B21*(1+สมมติฐาน!B22)^(21-1)+MAX(0,สมมติฐาน!B32*(1-สมมติฐาน!B8)^(21-1)-สมมติฐาน!B34)*สมมติฐาน!B25)*365</f>
        <v>31780.84646844109</v>
      </c>
      <c r="F25" s="12">
        <f>E25-สมมติฐาน!B28</f>
        <v>28280.84646844109</v>
      </c>
      <c r="G25" s="12">
        <f t="shared" si="0"/>
        <v>355021.92642053007</v>
      </c>
      <c r="I25" s="12">
        <f>สมมติฐาน!B32*(1-สมมติฐาน!B8)^(21-1)*365</f>
        <v>6686.2022123297684</v>
      </c>
      <c r="J25" s="12">
        <f>(MIN(สมมติฐาน!B32*(1-สมมติฐาน!B8)^(21-1),สมมติฐาน!B34)+MIN(สมมติฐาน!B35,(MIN(MAX(0,สมมติฐาน!B32*(1-สมมติฐาน!B8)^(21-1)-สมมติฐาน!B34),สมมติฐาน!B12*สมมติฐาน!B14))*สมมติฐาน!B15))*365</f>
        <v>5902.2</v>
      </c>
      <c r="K25" s="12">
        <f>MAX(0,MAX(0,สมมติฐาน!B32*(1-สมมติฐาน!B8)^(21-1)-สมมติฐาน!B34)-สมมติฐาน!B12*สมมติฐาน!B14)*365</f>
        <v>521.20221232976894</v>
      </c>
      <c r="L25" s="12">
        <f>((MIN(สมมติฐาน!B32*(1-สมมติฐาน!B8)^(21-1),สมมติฐาน!B34)+MIN(สมมติฐาน!B35,(MIN(MAX(0,สมมติฐาน!B32*(1-สมมติฐาน!B8)^(21-1)-สมมติฐาน!B34),สมมติฐาน!B12*สมมติฐาน!B14))*สมมติฐาน!B15))*สมมติฐาน!B21*(1+สมมติฐาน!B22)^(21-1)+MAX(0,MAX(0,สมมติฐาน!B32*(1-สมมติฐาน!B8)^(21-1)-สมมติฐาน!B34)-สมมติฐาน!B12*สมมติฐาน!B14)*สมมติฐาน!B25)*365</f>
        <v>49116.778648821644</v>
      </c>
      <c r="M25" s="12">
        <f>L25-สมมติฐาน!B28-สมมติฐาน!B13</f>
        <v>-34383.221351178356</v>
      </c>
      <c r="N25" s="12">
        <f t="shared" si="1"/>
        <v>353252.26461359602</v>
      </c>
      <c r="P25" s="12">
        <f>-สมมติฐาน!B33*365*สมมติฐาน!B21*(1+สมมติฐาน!B22)^(21-1)</f>
        <v>-58518.004003288988</v>
      </c>
      <c r="Q25" s="12">
        <f t="shared" si="2"/>
        <v>-929118.13744625577</v>
      </c>
    </row>
    <row r="26" spans="1:17" ht="15.75" customHeight="1" x14ac:dyDescent="0.35">
      <c r="A26" s="13">
        <v>22</v>
      </c>
      <c r="B26" s="14">
        <f>สมมติฐาน!B32*(1-สมมติฐาน!B8)^(22-1)*365</f>
        <v>6652.7712012681195</v>
      </c>
      <c r="C26" s="14">
        <f>MIN(สมมติฐาน!B32*(1-สมมติฐาน!B8)^(22-1),สมมติฐาน!B34)*365</f>
        <v>2880</v>
      </c>
      <c r="D26" s="14">
        <f>MAX(0,สมมติฐาน!B32*(1-สมมติฐาน!B8)^(22-1)-สมมติฐาน!B34)*365</f>
        <v>3772.77120126812</v>
      </c>
      <c r="E26" s="14">
        <f>(MIN(สมมติฐาน!B32*(1-สมมติฐาน!B8)^(22-1),สมมติฐาน!B34)*สมมติฐาน!B21*(1+สมมติฐาน!B22)^(22-1)+MAX(0,สมมติฐาน!B32*(1-สมมติฐาน!B8)^(22-1)-สมมติฐาน!B34)*สมมติฐาน!B25)*365</f>
        <v>32409.514292144926</v>
      </c>
      <c r="F26" s="14">
        <f>E26-สมมติฐาน!B28</f>
        <v>28909.514292144926</v>
      </c>
      <c r="G26" s="14">
        <f t="shared" si="0"/>
        <v>383931.44071267499</v>
      </c>
      <c r="I26" s="14">
        <f>สมมติฐาน!B32*(1-สมมติฐาน!B8)^(22-1)*365</f>
        <v>6652.7712012681195</v>
      </c>
      <c r="J26" s="14">
        <f>(MIN(สมมติฐาน!B32*(1-สมมติฐาน!B8)^(22-1),สมมติฐาน!B34)+MIN(สมมติฐาน!B35,(MIN(MAX(0,สมมติฐาน!B32*(1-สมมติฐาน!B8)^(22-1)-สมมติฐาน!B34),สมมติฐาน!B12*สมมติฐาน!B14))*สมมติฐาน!B15))*365</f>
        <v>5902.2</v>
      </c>
      <c r="K26" s="14">
        <f>MAX(0,MAX(0,สมมติฐาน!B32*(1-สมมติฐาน!B8)^(22-1)-สมมติฐาน!B34)-สมมติฐาน!B12*สมมติฐาน!B14)*365</f>
        <v>487.77120126811974</v>
      </c>
      <c r="L26" s="14">
        <f>((MIN(สมมติฐาน!B32*(1-สมมติฐาน!B8)^(22-1),สมมติฐาน!B34)+MIN(สมมติฐาน!B35,(MIN(MAX(0,สมมติฐาน!B32*(1-สมมติฐาน!B8)^(22-1)-สมมติฐาน!B34),สมมติฐาน!B12*สมมติฐาน!B14))*สมมติฐาน!B15))*สมมติฐาน!B21*(1+สมมติฐาน!B22)^(22-1)+MAX(0,MAX(0,สมมติฐาน!B32*(1-สมมติฐาน!B8)^(22-1)-สมมติฐาน!B34)-สมมติฐาน!B12*สมมติฐาน!B14)*สมมติฐาน!B25)*365</f>
        <v>50482.334437936894</v>
      </c>
      <c r="M26" s="14">
        <f>L26-สมมติฐาน!B28</f>
        <v>46982.334437936894</v>
      </c>
      <c r="N26" s="14">
        <f t="shared" si="1"/>
        <v>400234.59905153292</v>
      </c>
      <c r="P26" s="14">
        <f>-สมมติฐาน!B33*365*สมมติฐาน!B21*(1+สมมติฐาน!B22)^(22-1)</f>
        <v>-60273.544123387648</v>
      </c>
      <c r="Q26" s="14">
        <f t="shared" si="2"/>
        <v>-989391.68156964344</v>
      </c>
    </row>
    <row r="27" spans="1:17" ht="15.75" customHeight="1" x14ac:dyDescent="0.35">
      <c r="A27" s="11">
        <v>23</v>
      </c>
      <c r="B27" s="12">
        <f>สมมติฐาน!B32*(1-สมมติฐาน!B8)^(23-1)*365</f>
        <v>6619.5073452617789</v>
      </c>
      <c r="C27" s="12">
        <f>MIN(สมมติฐาน!B32*(1-สมมติฐาน!B8)^(23-1),สมมติฐาน!B34)*365</f>
        <v>2880</v>
      </c>
      <c r="D27" s="12">
        <f>MAX(0,สมมติฐาน!B32*(1-สมมติฐาน!B8)^(23-1)-สมมติฐาน!B34)*365</f>
        <v>3739.5073452617794</v>
      </c>
      <c r="E27" s="12">
        <f>(MIN(สมมติฐาน!B32*(1-สมมติฐาน!B8)^(23-1),สมมติฐาน!B34)*สมมติฐาน!B21*(1+สมมติฐาน!B22)^(23-1)+MAX(0,สมมติฐาน!B32*(1-สมมติฐาน!B8)^(23-1)-สมมติฐาน!B34)*สมมติฐาน!B25)*365</f>
        <v>33059.61633841163</v>
      </c>
      <c r="F27" s="12">
        <f>E27-สมมติฐาน!B28</f>
        <v>29559.61633841163</v>
      </c>
      <c r="G27" s="12">
        <f t="shared" si="0"/>
        <v>413491.05705108662</v>
      </c>
      <c r="I27" s="12">
        <f>สมมติฐาน!B32*(1-สมมติฐาน!B8)^(23-1)*365</f>
        <v>6619.5073452617789</v>
      </c>
      <c r="J27" s="12">
        <f>(MIN(สมมติฐาน!B32*(1-สมมติฐาน!B8)^(23-1),สมมติฐาน!B34)+MIN(สมมติฐาน!B35,(MIN(MAX(0,สมมติฐาน!B32*(1-สมมติฐาน!B8)^(23-1)-สมมติฐาน!B34),สมมติฐาน!B12*สมมติฐาน!B14))*สมมติฐาน!B15))*365</f>
        <v>5902.2</v>
      </c>
      <c r="K27" s="12">
        <f>MAX(0,MAX(0,สมมติฐาน!B32*(1-สมมติฐาน!B8)^(23-1)-สมมติฐาน!B34)-สมมติฐาน!B12*สมมติฐาน!B14)*365</f>
        <v>454.50734526177951</v>
      </c>
      <c r="L27" s="12">
        <f>((MIN(สมมติฐาน!B32*(1-สมมติฐาน!B8)^(23-1),สมมติฐาน!B34)+MIN(สมมติฐาน!B35,(MIN(MAX(0,สมมติฐาน!B32*(1-สมมติฐาน!B8)^(23-1)-สมมติฐาน!B34),สมมติฐาน!B12*สมมติฐาน!B14))*สมมติฐาน!B15))*สมมติฐาน!B21*(1+สมมติฐาน!B22)^(23-1)+MAX(0,MAX(0,สมมติฐาน!B32*(1-สมมติฐาน!B8)^(23-1)-สมมติฐาน!B34)-สมมติฐาน!B12*สมมติฐาน!B14)*สมมติฐาน!B25)*365</f>
        <v>51891.431088577359</v>
      </c>
      <c r="M27" s="12">
        <f>L27-สมมติฐาน!B28</f>
        <v>48391.431088577359</v>
      </c>
      <c r="N27" s="12">
        <f t="shared" si="1"/>
        <v>448626.03014011029</v>
      </c>
      <c r="P27" s="12">
        <f>-สมมติฐาน!B33*365*สมมติฐาน!B21*(1+สมมติฐาน!B22)^(23-1)</f>
        <v>-62081.750447089289</v>
      </c>
      <c r="Q27" s="12">
        <f t="shared" si="2"/>
        <v>-1051473.4320167326</v>
      </c>
    </row>
    <row r="28" spans="1:17" ht="15.75" customHeight="1" x14ac:dyDescent="0.35">
      <c r="A28" s="13">
        <v>24</v>
      </c>
      <c r="B28" s="14">
        <f>สมมติฐาน!B32*(1-สมมติฐาน!B8)^(24-1)*365</f>
        <v>6586.4098085354699</v>
      </c>
      <c r="C28" s="14">
        <f>MIN(สมมติฐาน!B32*(1-สมมติฐาน!B8)^(24-1),สมมติฐาน!B34)*365</f>
        <v>2880</v>
      </c>
      <c r="D28" s="14">
        <f>MAX(0,สมมติฐาน!B32*(1-สมมติฐาน!B8)^(24-1)-สมมติฐาน!B34)*365</f>
        <v>3706.4098085354699</v>
      </c>
      <c r="E28" s="14">
        <f>(MIN(สมมติฐาน!B32*(1-สมมติฐาน!B8)^(24-1),สมมติฐาน!B34)*สมมติฐาน!B21*(1+สมมติฐาน!B22)^(24-1)+MAX(0,สมมติฐาน!B32*(1-สมมติฐาน!B8)^(24-1)-สมมติฐาน!B34)*สมมติฐาน!B25)*365</f>
        <v>33731.782762978823</v>
      </c>
      <c r="F28" s="14">
        <f>E28-สมมติฐาน!B28</f>
        <v>30231.782762978823</v>
      </c>
      <c r="G28" s="14">
        <f t="shared" si="0"/>
        <v>443722.83981406543</v>
      </c>
      <c r="I28" s="14">
        <f>สมมติฐาน!B32*(1-สมมติฐาน!B8)^(24-1)*365</f>
        <v>6586.4098085354699</v>
      </c>
      <c r="J28" s="14">
        <f>(MIN(สมมติฐาน!B32*(1-สมมติฐาน!B8)^(24-1),สมมติฐาน!B34)+MIN(สมมติฐาน!B35,(MIN(MAX(0,สมมติฐาน!B32*(1-สมมติฐาน!B8)^(24-1)-สมมติฐาน!B34),สมมติฐาน!B12*สมมติฐาน!B14))*สมมติฐาน!B15))*365</f>
        <v>5902.2</v>
      </c>
      <c r="K28" s="14">
        <f>MAX(0,MAX(0,สมมติฐาน!B32*(1-สมมติฐาน!B8)^(24-1)-สมมติฐาน!B34)-สมมติฐาน!B12*สมมติฐาน!B14)*365</f>
        <v>421.40980853546995</v>
      </c>
      <c r="L28" s="14">
        <f>((MIN(สมมติฐาน!B32*(1-สมมติฐาน!B8)^(24-1),สมมติฐาน!B34)+MIN(สมมติฐาน!B35,(MIN(MAX(0,สมมติฐาน!B32*(1-สมมติฐาน!B8)^(24-1)-สมมติฐาน!B34),สมมติฐาน!B12*สมมติฐาน!B14))*สมมติฐาน!B15))*สมมติฐาน!B21*(1+สมมติฐาน!B22)^(24-1)+MAX(0,MAX(0,สมมติฐาน!B32*(1-สมมติฐาน!B8)^(24-1)-สมมติฐาน!B34)-สมมติฐาน!B12*สมมติฐาน!B14)*สมมติฐาน!B25)*365</f>
        <v>53345.361955649525</v>
      </c>
      <c r="M28" s="14">
        <f>L28-สมมติฐาน!B28</f>
        <v>49845.361955649525</v>
      </c>
      <c r="N28" s="14">
        <f t="shared" si="1"/>
        <v>498471.3920957598</v>
      </c>
      <c r="P28" s="14">
        <f>-สมมติฐาน!B33*365*สมมติฐาน!B21*(1+สมมติฐาน!B22)^(24-1)</f>
        <v>-63944.202960501971</v>
      </c>
      <c r="Q28" s="14">
        <f t="shared" si="2"/>
        <v>-1115417.6349772345</v>
      </c>
    </row>
    <row r="29" spans="1:17" ht="15.75" customHeight="1" x14ac:dyDescent="0.35">
      <c r="A29" s="11">
        <v>25</v>
      </c>
      <c r="B29" s="12">
        <f>สมมติฐาน!B32*(1-สมมติฐาน!B8)^(25-1)*365</f>
        <v>6553.4777594927937</v>
      </c>
      <c r="C29" s="12">
        <f>MIN(สมมติฐาน!B32*(1-สมมติฐาน!B8)^(25-1),สมมติฐาน!B34)*365</f>
        <v>2880</v>
      </c>
      <c r="D29" s="12">
        <f>MAX(0,สมมติฐาน!B32*(1-สมมติฐาน!B8)^(25-1)-สมมติฐาน!B34)*365</f>
        <v>3673.4777594927937</v>
      </c>
      <c r="E29" s="12">
        <f>(MIN(สมมติฐาน!B32*(1-สมมติฐาน!B8)^(25-1),สมมติฐาน!B34)*สมมติฐาน!B21*(1+สมมติฐาน!B22)^(25-1)+MAX(0,สมมติฐาน!B32*(1-สมมติฐาน!B8)^(25-1)-สมมติฐาน!B34)*สมมติฐาน!B25)*365</f>
        <v>34426.662690610952</v>
      </c>
      <c r="F29" s="12">
        <f>E29-สมมติฐาน!B28</f>
        <v>30926.662690610952</v>
      </c>
      <c r="G29" s="12">
        <f t="shared" si="0"/>
        <v>474649.50250467641</v>
      </c>
      <c r="I29" s="12">
        <f>สมมติฐาน!B32*(1-สมมติฐาน!B8)^(25-1)*365</f>
        <v>6553.4777594927937</v>
      </c>
      <c r="J29" s="12">
        <f>(MIN(สมมติฐาน!B32*(1-สมมติฐาน!B8)^(25-1),สมมติฐาน!B34)+MIN(สมมติฐาน!B35,(MIN(MAX(0,สมมติฐาน!B32*(1-สมมติฐาน!B8)^(25-1)-สมมติฐาน!B34),สมมติฐาน!B12*สมมติฐาน!B14))*สมมติฐาน!B15))*365</f>
        <v>5902.2</v>
      </c>
      <c r="K29" s="12">
        <f>MAX(0,MAX(0,สมมติฐาน!B32*(1-สมมติฐาน!B8)^(25-1)-สมมติฐาน!B34)-สมมติฐาน!B12*สมมติฐาน!B14)*365</f>
        <v>388.47775949279378</v>
      </c>
      <c r="L29" s="12">
        <f>((MIN(สมมติฐาน!B32*(1-สมมติฐาน!B8)^(25-1),สมมติฐาน!B34)+MIN(สมมติฐาน!B35,(MIN(MAX(0,สมมติฐาน!B32*(1-สมมติฐาน!B8)^(25-1)-สมมติฐาน!B34),สมมติฐาน!B12*สมมติฐาน!B14))*สมมติฐาน!B15))*สมมติฐาน!B21*(1+สมมติฐาน!B22)^(25-1)+MAX(0,MAX(0,สมมติฐาน!B32*(1-สมมติฐาน!B8)^(25-1)-สมมติฐาน!B34)-สมมติฐาน!B12*สมมติฐาน!B14)*สมมติฐาน!B25)*365</f>
        <v>54845.459259061776</v>
      </c>
      <c r="M29" s="12">
        <f>L29-สมมติฐาน!B28</f>
        <v>51345.459259061776</v>
      </c>
      <c r="N29" s="12">
        <f t="shared" si="1"/>
        <v>549816.85135482159</v>
      </c>
      <c r="P29" s="12">
        <f>-สมมติฐาน!B33*365*สมมติฐาน!B21*(1+สมมติฐาน!B22)^(25-1)</f>
        <v>-65862.529049317018</v>
      </c>
      <c r="Q29" s="12">
        <f t="shared" si="2"/>
        <v>-1181280.1640265516</v>
      </c>
    </row>
    <row r="31" spans="1:17" ht="18" customHeight="1" x14ac:dyDescent="0.35">
      <c r="A31" s="32" t="s">
        <v>78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</row>
    <row r="32" spans="1:17" ht="15" customHeight="1" x14ac:dyDescent="0.35">
      <c r="A32" s="15" t="s">
        <v>79</v>
      </c>
    </row>
    <row r="33" spans="1:16" ht="15" customHeight="1" x14ac:dyDescent="0.35">
      <c r="A33" s="15" t="s">
        <v>80</v>
      </c>
      <c r="B33" s="16">
        <f>สมมติฐาน!B5+สมมติฐาน!B28*สมมติฐาน!B9</f>
        <v>222500</v>
      </c>
      <c r="I33" s="17">
        <f>สมมติฐาน!B5+สมมติฐาน!B13+สมมติฐาน!B28*สมมติฐาน!B9</f>
        <v>302500</v>
      </c>
      <c r="P33" s="18"/>
    </row>
    <row r="34" spans="1:16" ht="15" customHeight="1" x14ac:dyDescent="0.35">
      <c r="A34" s="15" t="s">
        <v>81</v>
      </c>
      <c r="B34" s="16">
        <f>SUM(E5:E29)</f>
        <v>697149.50250467635</v>
      </c>
      <c r="I34" s="17">
        <f>SUM(L5:L29)</f>
        <v>1012316.8513548217</v>
      </c>
      <c r="P34" s="18">
        <f>SUM(P5:P29)</f>
        <v>-1181280.1640265516</v>
      </c>
    </row>
    <row r="35" spans="1:16" ht="15" customHeight="1" x14ac:dyDescent="0.35">
      <c r="A35" s="15" t="s">
        <v>82</v>
      </c>
      <c r="B35" s="16">
        <f>B34-B33</f>
        <v>474649.50250467635</v>
      </c>
      <c r="I35" s="17">
        <f>I34-I33</f>
        <v>709816.8513548217</v>
      </c>
      <c r="P35" s="18" t="s">
        <v>83</v>
      </c>
    </row>
    <row r="36" spans="1:16" ht="15" customHeight="1" x14ac:dyDescent="0.35">
      <c r="A36" s="15" t="s">
        <v>84</v>
      </c>
      <c r="B36" s="16">
        <f>IFERROR(สมมติฐาน!B5/((SUM(E5:E29)-สมมติฐาน!B28*สมมติฐาน!B9)/สมมติฐาน!B9),"N/A")</f>
        <v>5.5359677751465268</v>
      </c>
      <c r="I36" s="17">
        <f>IFERROR((สมมติฐาน!B5+สมมติฐาน!B13)/((SUM(L5:L29)-สมมติฐาน!B28*สมมติฐาน!B9)/สมมติฐาน!B9),"N/A")</f>
        <v>5.8119615706891894</v>
      </c>
      <c r="P36" s="18"/>
    </row>
    <row r="37" spans="1:16" ht="15" customHeight="1" x14ac:dyDescent="0.35">
      <c r="B37" s="16">
        <f>F5/((1+สมมติฐาน!B29)^1)+F6/((1+สมมติฐาน!B29)^2)+F7/((1+สมมติฐาน!B29)^3)+F8/((1+สมมติฐาน!B29)^4)+F9/((1+สมมติฐาน!B29)^5)+F10/((1+สมมติฐาน!B29)^6)+F11/((1+สมมติฐาน!B29)^7)+F12/((1+สมมติฐาน!B29)^8)+F13/((1+สมมติฐาน!B29)^9)+F14/((1+สมมติฐาน!B29)^10)+F15/((1+สมมติฐาน!B29)^11)+F16/((1+สมมติฐาน!B29)^12)+F17/((1+สมมติฐาน!B29)^13)+F18/((1+สมมติฐาน!B29)^14)+F19/((1+สมมติฐาน!B29)^15)+F20/((1+สมมติฐาน!B29)^16)+F21/((1+สมมติฐาน!B29)^17)+F22/((1+สมมติฐาน!B29)^18)+F23/((1+สมมติฐาน!B29)^19)+F24/((1+สมมติฐาน!B29)^20)+F25/((1+สมมติฐาน!B29)^21)+F26/((1+สมมติฐาน!B29)^22)+F27/((1+สมมติฐาน!B29)^23)+F28/((1+สมมติฐาน!B29)^24)+F29/((1+สมมติฐาน!B29)^25)</f>
        <v>198769.79882744164</v>
      </c>
      <c r="I37" s="17">
        <f>M5/((1+สมมติฐาน!B29)^1)+M6/((1+สมมติฐาน!B29)^2)+M7/((1+สมมติฐาน!B29)^3)+M8/((1+สมมติฐาน!B29)^4)+M9/((1+สมมติฐาน!B29)^5)+M10/((1+สมมติฐาน!B29)^6)+M11/((1+สมมติฐาน!B29)^7)+M12/((1+สมมติฐาน!B29)^8)+M13/((1+สมมติฐาน!B29)^9)+M14/((1+สมมติฐาน!B29)^10)+M15/((1+สมมติฐาน!B29)^11)+M16/((1+สมมติฐาน!B29)^12)+M17/((1+สมมติฐาน!B29)^13)+M18/((1+สมมติฐาน!B29)^14)+M19/((1+สมมติฐาน!B29)^15)+M20/((1+สมมติฐาน!B29)^16)+M21/((1+สมมติฐาน!B29)^17)+M22/((1+สมมติฐาน!B29)^18)+M23/((1+สมมติฐาน!B29)^19)+M24/((1+สมมติฐาน!B29)^20)+M25/((1+สมมติฐาน!B29)^21)+M26/((1+สมมติฐาน!B29)^22)+M27/((1+สมมติฐาน!B29)^23)+M28/((1+สมมติฐาน!B29)^24)+M29/((1+สมมติฐาน!B29)^25)</f>
        <v>204787.81480848405</v>
      </c>
      <c r="P37" s="18"/>
    </row>
  </sheetData>
  <mergeCells count="5">
    <mergeCell ref="A1:Q1"/>
    <mergeCell ref="B3:G3"/>
    <mergeCell ref="I3:N3"/>
    <mergeCell ref="P3:Q3"/>
    <mergeCell ref="A31:Q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showGridLines="0" zoomScaleNormal="100" workbookViewId="0">
      <selection sqref="A1:I1"/>
    </sheetView>
  </sheetViews>
  <sheetFormatPr defaultColWidth="8.6328125" defaultRowHeight="14.5" x14ac:dyDescent="0.35"/>
  <cols>
    <col min="1" max="1" width="24" customWidth="1"/>
    <col min="2" max="8" width="11" customWidth="1"/>
  </cols>
  <sheetData>
    <row r="1" spans="1:9" ht="24" customHeight="1" x14ac:dyDescent="0.35">
      <c r="A1" s="37" t="s">
        <v>85</v>
      </c>
      <c r="B1" s="37"/>
      <c r="C1" s="37"/>
      <c r="D1" s="37"/>
      <c r="E1" s="37"/>
      <c r="F1" s="37"/>
      <c r="G1" s="37"/>
      <c r="H1" s="37"/>
      <c r="I1" s="37"/>
    </row>
    <row r="3" spans="1:9" ht="15" customHeight="1" x14ac:dyDescent="0.35">
      <c r="A3" s="34" t="s">
        <v>86</v>
      </c>
      <c r="B3" s="34"/>
      <c r="C3" s="34"/>
      <c r="D3" s="34"/>
      <c r="E3" s="34"/>
      <c r="F3" s="34"/>
      <c r="G3" s="34"/>
      <c r="H3" s="34"/>
    </row>
    <row r="4" spans="1:9" ht="15" customHeight="1" x14ac:dyDescent="0.35">
      <c r="A4" s="6" t="s">
        <v>87</v>
      </c>
      <c r="B4" s="19">
        <v>3</v>
      </c>
      <c r="C4" s="19">
        <v>3.5</v>
      </c>
      <c r="D4" s="19">
        <v>4</v>
      </c>
      <c r="E4" s="19">
        <v>4.5</v>
      </c>
      <c r="F4" s="19">
        <v>5</v>
      </c>
      <c r="G4" s="19">
        <v>5.5</v>
      </c>
      <c r="H4" s="19">
        <v>6</v>
      </c>
    </row>
    <row r="5" spans="1:9" ht="16.5" customHeight="1" x14ac:dyDescent="0.35">
      <c r="A5" s="19">
        <v>1</v>
      </c>
      <c r="B5" s="20">
        <f>IF(MIN(สมมติฐาน!B32,สมมติฐาน!B34)*365*3+MAX(0,สมมติฐาน!B32-สมมติฐาน!B34)*365*1-สมมติฐาน!B28&gt;0,สมมติฐาน!B5/(MIN(สมมติฐาน!B32,สมมติฐาน!B34)*365*3+MAX(0,สมมติฐาน!B32-สมมติฐาน!B34)*365*1-สมมติฐาน!B28),999)</f>
        <v>13.987825411216164</v>
      </c>
      <c r="C5" s="20">
        <f>IF(MIN(สมมติฐาน!B32,สมมติฐาน!B34)*365*3.5+MAX(0,สมมติฐาน!B32-สมมติฐาน!B34)*365*1-สมมติฐาน!B28&gt;0,สมมติฐาน!B5/(MIN(สมมติฐาน!B32,สมมติฐาน!B34)*365*3.5+MAX(0,สมมติฐาน!B32-สมมติฐาน!B34)*365*1-สมมติฐาน!B28),999)</f>
        <v>12.171757015665502</v>
      </c>
      <c r="D5" s="20">
        <f>IF(MIN(สมมติฐาน!B32,สมมติฐาน!B34)*365*4+MAX(0,สมมติฐาน!B32-สมมติฐาน!B34)*365*1-สมมติฐาน!B28&gt;0,สมมติฐาน!B5/(MIN(สมมติฐาน!B32,สมมติฐาน!B34)*365*4+MAX(0,สมมติฐาน!B32-สมมติฐาน!B34)*365*1-สมมติฐาน!B28),999)</f>
        <v>10.773067331670823</v>
      </c>
      <c r="E5" s="20">
        <f>IF(MIN(สมมติฐาน!B32,สมมติฐาน!B34)*365*4.5+MAX(0,สมมติฐาน!B32-สมมติฐาน!B34)*365*1-สมมติฐาน!B28&gt;0,สมมติฐาน!B5/(MIN(สมมติฐาน!B32,สมมติฐาน!B34)*365*4.5+MAX(0,สมมติฐาน!B32-สมมติฐาน!B34)*365*1-สมมติฐาน!B28),999)</f>
        <v>9.6627001878858376</v>
      </c>
      <c r="F5" s="20">
        <f>IF(MIN(สมมติฐาน!B32,สมมติฐาน!B34)*365*5+MAX(0,สมมติฐาน!B32-สมมติฐาน!B34)*365*1-สมมติฐาน!B28&gt;0,สมมติฐาน!B5/(MIN(สมมติฐาน!B32,สมมติฐาน!B34)*365*5+MAX(0,สมมติฐาน!B32-สมมติฐาน!B34)*365*1-สมมติฐาน!B28),999)</f>
        <v>8.7598345364587562</v>
      </c>
      <c r="G5" s="20">
        <f>IF(MIN(สมมติฐาน!B32,สมมติฐาน!B34)*365*5.5+MAX(0,สมมติฐาน!B32-สมมติฐาน!B34)*365*1-สมมติฐาน!B28&gt;0,สมมติฐาน!B5/(MIN(สมมติฐาน!B32,สมมติฐาน!B34)*365*5.5+MAX(0,สมมติฐาน!B32-สมมติฐาน!B34)*365*1-สมมติฐาน!B28),999)</f>
        <v>8.011275127957866</v>
      </c>
      <c r="H5" s="20">
        <f>IF(MIN(สมมติฐาน!B32,สมมติฐาน!B34)*365*6+MAX(0,สมมติฐาน!B32-สมมติฐาน!B34)*365*1-สมมติฐาน!B28&gt;0,สมมติฐาน!B5/(MIN(สมมติฐาน!B32,สมมติฐาน!B34)*365*6+MAX(0,สมมติฐาน!B32-สมมติฐาน!B34)*365*1-สมมติฐาน!B28),999)</f>
        <v>7.3805781452880472</v>
      </c>
    </row>
    <row r="6" spans="1:9" ht="16.5" customHeight="1" x14ac:dyDescent="0.35">
      <c r="A6" s="19">
        <v>1.5</v>
      </c>
      <c r="B6" s="20">
        <f>IF(MIN(สมมติฐาน!B32,สมมติฐาน!B34)*365*3+MAX(0,สมมติฐาน!B32-สมมติฐาน!B34)*365*1.5-สมมติฐาน!B28&gt;0,สมมติฐาน!B5/(MIN(สมมติฐาน!B32,สมมติฐาน!B34)*365*3+MAX(0,สมมติฐาน!B32-สมมติฐาน!B34)*365*1.5-สมมติฐาน!B28),999)</f>
        <v>11.337987507217468</v>
      </c>
      <c r="C6" s="20">
        <f>IF(MIN(สมมติฐาน!B32,สมมติฐาน!B34)*365*3.5+MAX(0,สมมติฐาน!B32-สมมติฐาน!B34)*365*1.5-สมมติฐาน!B28&gt;0,สมมติฐาน!B5/(MIN(สมมติฐาน!B32,สมมติฐาน!B34)*365*3.5+MAX(0,สมมติฐาน!B32-สมมติฐาน!B34)*365*1.5-สมมติฐาน!B28),999)</f>
        <v>10.114727230156872</v>
      </c>
      <c r="D6" s="20">
        <f>IF(MIN(สมมติฐาน!B32,สมมติฐาน!B34)*365*4+MAX(0,สมมติฐาน!B32-สมมติฐาน!B34)*365*1.5-สมมติฐาน!B28&gt;0,สมมติฐาน!B5/(MIN(สมมติฐาน!B32,สมมติฐาน!B34)*365*4+MAX(0,สมมติฐาน!B32-สมมติฐาน!B34)*365*1.5-สมมติฐาน!B28),999)</f>
        <v>9.1297180776871389</v>
      </c>
      <c r="E6" s="20">
        <f>IF(MIN(สมมติฐาน!B32,สมมติฐาน!B34)*365*4.5+MAX(0,สมมติฐาน!B32-สมมติฐาน!B34)*365*1.5-สมมติฐาน!B28&gt;0,สมมติฐาน!B5/(MIN(สมมติฐาน!B32,สมมติฐาน!B34)*365*4.5+MAX(0,สมมติฐาน!B32-สมมติฐาน!B34)*365*1.5-สมมติฐาน!B28),999)</f>
        <v>8.3195316411816815</v>
      </c>
      <c r="F6" s="20">
        <f>IF(MIN(สมมติฐาน!B32,สมมติฐาน!B34)*365*5+MAX(0,สมมติฐาน!B32-สมมติฐาน!B34)*365*1.5-สมมติฐาน!B28&gt;0,สมมติฐาน!B5/(MIN(สมมติฐาน!B32,สมมติฐาน!B34)*365*5+MAX(0,สมมติฐาน!B32-สมมติฐาน!B34)*365*1.5-สมมติฐาน!B28),999)</f>
        <v>7.6414193228853433</v>
      </c>
      <c r="G6" s="20">
        <f>IF(MIN(สมมติฐาน!B32,สมมติฐาน!B34)*365*5.5+MAX(0,สมมติฐาน!B32-สมมติฐาน!B34)*365*1.5-สมมติฐาน!B28&gt;0,สมมติฐาน!B5/(MIN(สมมติฐาน!B32,สมมติฐาน!B34)*365*5.5+MAX(0,สมมติฐาน!B32-สมมติฐาน!B34)*365*1.5-สมมติฐาน!B28),999)</f>
        <v>7.0655196100879918</v>
      </c>
      <c r="H6" s="20">
        <f>IF(MIN(สมมติฐาน!B32,สมมติฐาน!B34)*365*6+MAX(0,สมมติฐาน!B32-สมมติฐาน!B34)*365*1.5-สมมติฐาน!B28&gt;0,สมมติฐาน!B5/(MIN(สมมติฐาน!B32,สมมติฐาน!B34)*365*6+MAX(0,สมมติฐาน!B32-สมมติฐาน!B34)*365*1.5-สมมติฐาน!B28),999)</f>
        <v>6.5703422053231941</v>
      </c>
    </row>
    <row r="7" spans="1:9" ht="16.5" customHeight="1" x14ac:dyDescent="0.35">
      <c r="A7" s="19">
        <v>2</v>
      </c>
      <c r="B7" s="20">
        <f>IF(MIN(สมมติฐาน!B32,สมมติฐาน!B34)*365*3+MAX(0,สมมติฐาน!B32-สมมติฐาน!B34)*365*2-สมมติฐาน!B28&gt;0,สมมติฐาน!B5/(MIN(สมมติฐาน!B32,สมมติฐาน!B34)*365*3+MAX(0,สมมติฐาน!B32-สมมติฐาน!B34)*365*2-สมมติฐาน!B28),999)</f>
        <v>9.5322153574580764</v>
      </c>
      <c r="C7" s="20">
        <f>IF(MIN(สมมติฐาน!B32,สมมติฐาน!B34)*365*3.5+MAX(0,สมมติฐาน!B32-สมมติฐาน!B34)*365*2-สมมติฐาน!B28&gt;0,สมมติฐาน!B5/(MIN(สมมติฐาน!B32,สมมติฐาน!B34)*365*3.5+MAX(0,สมมติฐาน!B32-สมมติฐาน!B34)*365*2-สมมติฐาน!B28),999)</f>
        <v>8.6524595417401056</v>
      </c>
      <c r="D7" s="20">
        <f>IF(MIN(สมมติฐาน!B32,สมมติฐาน!B34)*365*4+MAX(0,สมมติฐาน!B32-สมมติฐาน!B34)*365*2-สมมติฐาน!B28&gt;0,สมมติฐาน!B5/(MIN(สมมติฐาน!B32,สมมติฐาน!B34)*365*4+MAX(0,สมมติฐาน!B32-สมมติฐาน!B34)*365*2-สมมติฐาน!B28),999)</f>
        <v>7.9213730379932521</v>
      </c>
      <c r="E7" s="20">
        <f>IF(MIN(สมมติฐาน!B32,สมมติฐาน!B34)*365*4.5+MAX(0,สมมติฐาน!B32-สมมติฐาน!B34)*365*2-สมมติฐาน!B28&gt;0,สมมติฐาน!B5/(MIN(สมมติฐาน!B32,สมมติฐาน!B34)*365*4.5+MAX(0,สมมติฐาน!B32-สมมติฐาน!B34)*365*2-สมมติฐาน!B28),999)</f>
        <v>7.304206681996483</v>
      </c>
      <c r="F7" s="20">
        <f>IF(MIN(สมมติฐาน!B32,สมมติฐาน!B34)*365*5+MAX(0,สมมติฐาน!B32-สมมติฐาน!B34)*365*2-สมมติฐาน!B28&gt;0,สมมติฐาน!B5/(MIN(สมมติฐาน!B32,สมมติฐาน!B34)*365*5+MAX(0,สมมติฐาน!B32-สมมติฐาน!B34)*365*2-สมมติฐาน!B28),999)</f>
        <v>6.7762579997490278</v>
      </c>
      <c r="G7" s="20">
        <f>IF(MIN(สมมติฐาน!B32,สมมติฐาน!B34)*365*5.5+MAX(0,สมมติฐาน!B32-สมมติฐาน!B34)*365*2-สมมติฐาน!B28&gt;0,สมมติฐาน!B5/(MIN(สมมติฐาน!B32,สมมติฐาน!B34)*365*5.5+MAX(0,สมมติฐาน!B32-สมมติฐาน!B34)*365*2-สมมติฐาน!B28),999)</f>
        <v>6.3194850789935639</v>
      </c>
      <c r="H7" s="20">
        <f>IF(MIN(สมมติฐาน!B32,สมมติฐาน!B34)*365*6+MAX(0,สมมติฐาน!B32-สมมติฐาน!B34)*365*2-สมมติฐาน!B28&gt;0,สมมติฐาน!B5/(MIN(สมมติฐาน!B32,สมมติฐาน!B34)*365*6+MAX(0,สมมติฐาน!B32-สมมติฐาน!B34)*365*2-สมมติฐาน!B28),999)</f>
        <v>5.9204034645323977</v>
      </c>
    </row>
    <row r="8" spans="1:9" ht="16.5" customHeight="1" x14ac:dyDescent="0.35">
      <c r="A8" s="19">
        <v>2.2000000000000002</v>
      </c>
      <c r="B8" s="20">
        <f>IF(MIN(สมมติฐาน!B32,สมมติฐาน!B34)*365*3+MAX(0,สมมติฐาน!B32-สมมติฐาน!B34)*365*2.2-สมมติฐาน!B28&gt;0,สมมติฐาน!B5/(MIN(สมมติฐาน!B32,สมมติฐาน!B34)*365*3+MAX(0,สมมติฐาน!B32-สมมติฐาน!B34)*365*2.2-สมมติฐาน!B28),999)</f>
        <v>8.9613169816956795</v>
      </c>
      <c r="C8" s="20">
        <f>IF(MIN(สมมติฐาน!B32,สมมติฐาน!B34)*365*3.5+MAX(0,สมมติฐาน!B32-สมมติฐาน!B34)*365*2.2-สมมติฐาน!B28&gt;0,สมมติฐาน!B5/(MIN(สมมติฐาน!B32,สมมติฐาน!B34)*365*3.5+MAX(0,สมมติฐาน!B32-สมมติฐาน!B34)*365*2.2-สมมติฐาน!B28),999)</f>
        <v>8.1794634877838206</v>
      </c>
      <c r="D8" s="20">
        <f>IF(MIN(สมมติฐาน!B32,สมมติฐาน!B34)*365*4+MAX(0,สมมติฐาน!B32-สมมติฐาน!B34)*365*2.2-สมมติฐาน!B28&gt;0,สมมติฐาน!B5/(MIN(สมมติฐาน!B32,สมมติฐาน!B34)*365*4+MAX(0,สมมติฐาน!B32-สมมติฐาน!B34)*365*2.2-สมมติฐาน!B28),999)</f>
        <v>7.5230917120606309</v>
      </c>
      <c r="E8" s="20">
        <f>IF(MIN(สมมติฐาน!B32,สมมติฐาน!B34)*365*4.5+MAX(0,สมมติฐาน!B32-สมมติฐาน!B34)*365*2.2-สมมติฐาน!B28&gt;0,สมมติฐาน!B5/(MIN(สมมติฐาน!B32,สมมติฐาน!B34)*365*4.5+MAX(0,สมมติฐาน!B32-สมมติฐาน!B34)*365*2.2-สมมติฐาน!B28),999)</f>
        <v>6.9642373515263287</v>
      </c>
      <c r="F8" s="20">
        <f>IF(MIN(สมมติฐาน!B32,สมมติฐาน!B34)*365*5+MAX(0,สมมติฐาน!B32-สมมติฐาน!B34)*365*2.2-สมมติฐาน!B28&gt;0,สมมติฐาน!B5/(MIN(สมมติฐาน!B32,สมมติฐาน!B34)*365*5+MAX(0,สมมติฐาน!B32-สมมติฐาน!B34)*365*2.2-สมมติฐาน!B28),999)</f>
        <v>6.4826708603944825</v>
      </c>
      <c r="G8" s="20">
        <f>IF(MIN(สมมติฐาน!B32,สมมติฐาน!B34)*365*5.5+MAX(0,สมมติฐาน!B32-สมมติฐาน!B34)*365*2.2-สมมติฐาน!B28&gt;0,สมมติฐาน!B5/(MIN(สมมติฐาน!B32,สมมติฐาน!B34)*365*5.5+MAX(0,สมมติฐาน!B32-สมมติฐาน!B34)*365*2.2-สมมติฐาน!B28),999)</f>
        <v>6.0633961755690047</v>
      </c>
      <c r="H8" s="20">
        <f>IF(MIN(สมมติฐาน!B32,สมมติฐาน!B34)*365*6+MAX(0,สมมติฐาน!B32-สมมติฐาน!B34)*365*2.2-สมมติฐาน!B28&gt;0,สมมติฐาน!B5/(MIN(สมมติฐาน!B32,สมมติฐาน!B34)*365*6+MAX(0,สมมติฐาน!B32-สมมติฐาน!B34)*365*2.2-สมมติฐาน!B28),999)</f>
        <v>5.6950611164429068</v>
      </c>
    </row>
    <row r="9" spans="1:9" ht="16.5" customHeight="1" x14ac:dyDescent="0.35">
      <c r="A9" s="19">
        <v>2.5</v>
      </c>
      <c r="B9" s="20">
        <f>IF(MIN(สมมติฐาน!B32,สมมติฐาน!B34)*365*3+MAX(0,สมมติฐาน!B32-สมมติฐาน!B34)*365*2.5-สมมติฐาน!B28&gt;0,สมมติฐาน!B5/(MIN(สมมติฐาน!B32,สมมติฐาน!B34)*365*3+MAX(0,สมมติฐาน!B32-สมมติฐาน!B34)*365*2.5-สมมติฐาน!B28),999)</f>
        <v>8.2226198180364687</v>
      </c>
      <c r="C9" s="20">
        <f>IF(MIN(สมมติฐาน!B32,สมมติฐาน!B34)*365*3.5+MAX(0,สมมติฐาน!B32-สมมติฐาน!B34)*365*2.5-สมมติฐาน!B28&gt;0,สมมติฐาน!B5/(MIN(สมมติฐาน!B32,สมมติฐาน!B34)*365*3.5+MAX(0,สมมติฐาน!B32-สมมติฐาน!B34)*365*2.5-สมมติฐาน!B28),999)</f>
        <v>7.5595842228677421</v>
      </c>
      <c r="D9" s="20">
        <f>IF(MIN(สมมติฐาน!B32,สมมติฐาน!B34)*365*4+MAX(0,สมมติฐาน!B32-สมมติฐาน!B34)*365*2.5-สมมติฐาน!B28&gt;0,สมมติฐาน!B5/(MIN(สมมติฐาน!B32,สมมติฐาน!B34)*365*4+MAX(0,สมมติฐาน!B32-สมมติฐาน!B34)*365*2.5-สมมติฐาน!B28),999)</f>
        <v>6.995498267318716</v>
      </c>
      <c r="E9" s="20">
        <f>IF(MIN(สมมติฐาน!B32,สมมติฐาน!B34)*365*4.5+MAX(0,สมมติฐาน!B32-สมมติฐาน!B34)*365*2.5-สมมติฐาน!B28&gt;0,สมมติฐาน!B5/(MIN(สมมติฐาน!B32,สมมติฐาน!B34)*365*4.5+MAX(0,สมมติฐาน!B32-สมมติฐาน!B34)*365*2.5-สมมติฐาน!B28),999)</f>
        <v>6.509749555468491</v>
      </c>
      <c r="F9" s="20">
        <f>IF(MIN(สมมติฐาน!B32,สมมติฐาน!B34)*365*5+MAX(0,สมมติฐาน!B32-สมมติฐาน!B34)*365*2.5-สมมติฐาน!B28&gt;0,สมมติฐาน!B5/(MIN(สมมติฐาน!B32,สมมติฐาน!B34)*365*5+MAX(0,สมมติฐาน!B32-สมมติฐาน!B34)*365*2.5-สมมติฐาน!B28),999)</f>
        <v>6.0870790474848526</v>
      </c>
      <c r="G9" s="20">
        <f>IF(MIN(สมมติฐาน!B32,สมมติฐาน!B34)*365*5.5+MAX(0,สมมติฐาน!B32-สมมติฐาน!B34)*365*2.5-สมมติฐาน!B28&gt;0,สมมติฐาน!B5/(MIN(สมมติฐาน!B32,สมมติฐาน!B34)*365*5.5+MAX(0,สมมติฐาน!B32-สมมติฐาน!B34)*365*2.5-สมมติฐาน!B28),999)</f>
        <v>5.7159490857127739</v>
      </c>
      <c r="H9" s="20">
        <f>IF(MIN(สมมติฐาน!B32,สมมติฐาน!B34)*365*6+MAX(0,สมมติฐาน!B32-สมมติฐาน!B34)*365*2.5-สมมติฐาน!B28&gt;0,สมมติฐาน!B5/(MIN(สมมติฐาน!B32,สมมติฐาน!B34)*365*6+MAX(0,สมมติฐาน!B32-สมมติฐาน!B34)*365*2.5-สมมติฐาน!B28),999)</f>
        <v>5.3874741226648046</v>
      </c>
    </row>
    <row r="10" spans="1:9" ht="16.5" customHeight="1" x14ac:dyDescent="0.35">
      <c r="A10" s="19">
        <v>3</v>
      </c>
      <c r="B10" s="20">
        <f>IF(MIN(สมมติฐาน!B32,สมมติฐาน!B34)*365*3+MAX(0,สมมติฐาน!B32-สมมติฐาน!B34)*365*3-สมมติฐาน!B28&gt;0,สมมติฐาน!B5/(MIN(สมมติฐาน!B32,สมมติฐาน!B34)*365*3+MAX(0,สมมติฐาน!B32-สมมติฐาน!B34)*365*3-สมมติฐาน!B28),999)</f>
        <v>7.2293995582033599</v>
      </c>
      <c r="C10" s="20">
        <f>IF(MIN(สมมติฐาน!B32,สมมติฐาน!B34)*365*3.5+MAX(0,สมมติฐาน!B32-สมมติฐาน!B34)*365*3-สมมติฐาน!B28&gt;0,สมมติฐาน!B5/(MIN(สมมติฐาน!B32,สมมติฐาน!B34)*365*3.5+MAX(0,สมมติฐาน!B32-สมมติฐาน!B34)*365*3-สมมติฐาน!B28),999)</f>
        <v>6.7118264868560065</v>
      </c>
      <c r="D10" s="20">
        <f>IF(MIN(สมมติฐาน!B32,สมมติฐาน!B34)*365*4+MAX(0,สมมติฐาน!B32-สมมติฐาน!B34)*365*3-สมมติฐาน!B28&gt;0,สมมติฐาน!B5/(MIN(สมมติฐาน!B32,สมมติฐาน!B34)*365*4+MAX(0,สมมติฐาน!B32-สมมติฐาน!B34)*365*3-สมมติฐาน!B28),999)</f>
        <v>6.263411239343502</v>
      </c>
      <c r="E10" s="20">
        <f>IF(MIN(สมมติฐาน!B32,สมมติฐาน!B34)*365*4.5+MAX(0,สมมติฐาน!B32-สมมติฐาน!B34)*365*3-สมมติฐาน!B28&gt;0,สมมติฐาน!B5/(MIN(สมมติฐาน!B32,สมมติฐาน!B34)*365*4.5+MAX(0,สมมติฐาน!B32-สมมติฐาน!B34)*365*3-สมมติฐาน!B28),999)</f>
        <v>5.8711606414786628</v>
      </c>
      <c r="F10" s="20">
        <f>IF(MIN(สมมติฐาน!B32,สมมติฐาน!B34)*365*5+MAX(0,สมมติฐาน!B32-สมมติฐาน!B34)*365*3-สมมติฐาน!B28&gt;0,สมมติฐาน!B5/(MIN(สมมติฐาน!B32,สมมติฐาน!B34)*365*5+MAX(0,สมมติฐาน!B32-สมมติฐาน!B34)*365*3-สมมติฐาน!B28),999)</f>
        <v>5.5251445234562846</v>
      </c>
      <c r="G10" s="20">
        <f>IF(MIN(สมมติฐาน!B32,สมมติฐาน!B34)*365*5.5+MAX(0,สมมติฐาน!B32-สมมติฐาน!B34)*365*3-สมมติฐาน!B28&gt;0,สมมติฐาน!B5/(MIN(สมมติฐาน!B32,สมมติฐาน!B34)*365*5.5+MAX(0,สมมติฐาน!B32-สมมติฐาน!B34)*365*3-สมมติฐาน!B28),999)</f>
        <v>5.2176433644137399</v>
      </c>
      <c r="H10" s="20">
        <f>IF(MIN(สมมติฐาน!B32,สมมติฐาน!B34)*365*6+MAX(0,สมมติฐาน!B32-สมมติฐาน!B34)*365*3-สมมติฐาน!B28&gt;0,สมมติฐาน!B5/(MIN(สมมติฐาน!B32,สมมติฐาน!B34)*365*6+MAX(0,สมมติฐาน!B32-สมมติฐาน!B34)*365*3-สมมติฐาน!B28),999)</f>
        <v>4.9425655576403829</v>
      </c>
    </row>
    <row r="11" spans="1:9" ht="16.5" customHeight="1" x14ac:dyDescent="0.35">
      <c r="A11" s="19">
        <v>3.5</v>
      </c>
      <c r="B11" s="20">
        <f>IF(MIN(สมมติฐาน!B32,สมมติฐาน!B34)*365*3+MAX(0,สมมติฐาน!B32-สมมติฐาน!B34)*365*3.5-สมมติฐาน!B28&gt;0,สมมติฐาน!B5/(MIN(สมมติฐาน!B32,สมมติฐาน!B34)*365*3+MAX(0,สมมติฐาน!B32-สมมติฐาน!B34)*365*3.5-สมมติฐาน!B28),999)</f>
        <v>6.4502642816615401</v>
      </c>
      <c r="C11" s="20">
        <f>IF(MIN(สมมติฐาน!B32,สมมติฐาน!B34)*365*3.5+MAX(0,สมมติฐาน!B32-สมมติฐาน!B34)*365*3.5-สมมติฐาน!B28&gt;0,สมมติฐาน!B5/(MIN(สมมติฐาน!B32,สมมติฐาน!B34)*365*3.5+MAX(0,สมมติฐาน!B32-สมมติฐาน!B34)*365*3.5-สมมติฐาน!B28),999)</f>
        <v>6.0350367410801598</v>
      </c>
      <c r="D11" s="20">
        <f>IF(MIN(สมมติฐาน!B32,สมมติฐาน!B34)*365*4+MAX(0,สมมติฐาน!B32-สมมติฐาน!B34)*365*3.5-สมมติฐาน!B28&gt;0,สมมติฐาน!B5/(MIN(สมมติฐาน!B32,สมมติฐาน!B34)*365*4+MAX(0,สมมติฐาน!B32-สมมติฐาน!B34)*365*3.5-สมมติฐาน!B28),999)</f>
        <v>5.6700354377214861</v>
      </c>
      <c r="E11" s="20">
        <f>IF(MIN(สมมติฐาน!B32,สมมติฐาน!B34)*365*4.5+MAX(0,สมมติฐาน!B32-สมมติฐาน!B34)*365*3.5-สมมติฐาน!B28&gt;0,สมมติฐาน!B5/(MIN(สมมติฐาน!B32,สมมติฐาน!B34)*365*4.5+MAX(0,สมมติฐาน!B32-สมมติฐาน!B34)*365*3.5-สมมติฐาน!B28),999)</f>
        <v>5.3466669967078397</v>
      </c>
      <c r="F11" s="20">
        <f>IF(MIN(สมมติฐาน!B32,สมมติฐาน!B34)*365*5+MAX(0,สมมติฐาน!B32-สมมติฐาน!B34)*365*3.5-สมมติฐาน!B28&gt;0,สมมติฐาน!B5/(MIN(สมมติฐาน!B32,สมมติฐาน!B34)*365*5+MAX(0,สมมติฐาน!B32-สมมติฐาน!B34)*365*3.5-สมมติฐาน!B28),999)</f>
        <v>5.0581926328361009</v>
      </c>
      <c r="G11" s="20">
        <f>IF(MIN(สมมติฐาน!B32,สมมติฐาน!B34)*365*5.5+MAX(0,สมมติฐาน!B32-สมมติฐาน!B34)*365*3.5-สมมติฐาน!B28&gt;0,สมมติฐาน!B5/(MIN(สมมติฐาน!B32,สมมติฐาน!B34)*365*5.5+MAX(0,สมมติฐาน!B32-สมมติฐาน!B34)*365*3.5-สมมติฐาน!B28),999)</f>
        <v>4.7992534494634169</v>
      </c>
      <c r="H11" s="20">
        <f>IF(MIN(สมมติฐาน!B32,สมมติฐาน!B34)*365*6+MAX(0,สมมติฐาน!B32-สมมติฐาน!B34)*365*3.5-สมมติฐาน!B28&gt;0,สมมติฐาน!B5/(MIN(สมมติฐาน!B32,สมมติฐาน!B34)*365*6+MAX(0,สมมติฐาน!B32-สมมติฐาน!B34)*365*3.5-สมมติฐาน!B28),999)</f>
        <v>4.5655344423072854</v>
      </c>
    </row>
    <row r="13" spans="1:9" ht="15" customHeight="1" x14ac:dyDescent="0.35">
      <c r="A13" s="35" t="s">
        <v>88</v>
      </c>
      <c r="B13" s="35"/>
      <c r="C13" s="35"/>
      <c r="D13" s="35"/>
      <c r="E13" s="35"/>
      <c r="F13" s="35"/>
      <c r="G13" s="35"/>
      <c r="H13" s="35"/>
    </row>
    <row r="14" spans="1:9" ht="15" customHeight="1" x14ac:dyDescent="0.35">
      <c r="A14" s="6" t="s">
        <v>87</v>
      </c>
      <c r="B14" s="21">
        <v>3</v>
      </c>
      <c r="C14" s="21">
        <v>3.5</v>
      </c>
      <c r="D14" s="21">
        <v>4</v>
      </c>
      <c r="E14" s="21">
        <v>4.5</v>
      </c>
      <c r="F14" s="21">
        <v>5</v>
      </c>
      <c r="G14" s="21">
        <v>5.5</v>
      </c>
      <c r="H14" s="21">
        <v>6</v>
      </c>
    </row>
    <row r="15" spans="1:9" ht="16.5" customHeight="1" x14ac:dyDescent="0.35">
      <c r="A15" s="21">
        <v>1</v>
      </c>
      <c r="B15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1-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1-สมมติฐาน!B28),999)</f>
        <v>13.931321823253645</v>
      </c>
      <c r="C15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1-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1-สมมติฐาน!B28),999)</f>
        <v>11.694983939795311</v>
      </c>
      <c r="D15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1-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1-สมมติฐาน!B28),999)</f>
        <v>10.077314091131729</v>
      </c>
      <c r="E15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1-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1-สมมติฐาน!B28),999)</f>
        <v>8.8527823471402431</v>
      </c>
      <c r="F15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1-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1-สมมติฐาน!B28),999)</f>
        <v>7.893601593406089</v>
      </c>
      <c r="G15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1-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1-สมมติฐาน!B28),999)</f>
        <v>7.1219526737963488</v>
      </c>
      <c r="H15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1-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1-สมมติฐาน!B28),999)</f>
        <v>6.4877359159551533</v>
      </c>
    </row>
    <row r="16" spans="1:9" ht="16.5" customHeight="1" x14ac:dyDescent="0.35">
      <c r="A16" s="21">
        <v>1.5</v>
      </c>
      <c r="B16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1.5-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1.5-สมมติฐาน!B28),999)</f>
        <v>13.398998814344408</v>
      </c>
      <c r="C16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1.5-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1.5-สมมติฐาน!B28),999)</f>
        <v>11.317531777918441</v>
      </c>
      <c r="D16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1.5-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1.5-สมมติฐาน!B28),999)</f>
        <v>9.7958030679088353</v>
      </c>
      <c r="E16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1.5-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1.5-สมมติฐาน!B28),999)</f>
        <v>8.6347895671661128</v>
      </c>
      <c r="F16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1.5-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1.5-สมมติฐาน!B28),999)</f>
        <v>7.7198242393504577</v>
      </c>
      <c r="G16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1.5-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1.5-สมมติฐาน!B28),999)</f>
        <v>6.980185202169702</v>
      </c>
      <c r="H16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1.5-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1.5-สมมติฐาน!B28),999)</f>
        <v>6.369884371784968</v>
      </c>
    </row>
    <row r="17" spans="1:8" ht="16.5" customHeight="1" x14ac:dyDescent="0.35">
      <c r="A17" s="21">
        <v>2</v>
      </c>
      <c r="B17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2-สมมติฐาน!B28),999)</f>
        <v>12.905859260104089</v>
      </c>
      <c r="C17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2-สมมติฐาน!B28),999)</f>
        <v>10.963682165403718</v>
      </c>
      <c r="D17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2-สมมติฐาน!B28),999)</f>
        <v>9.5295927096399584</v>
      </c>
      <c r="E17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2-สมมติฐาน!B28),999)</f>
        <v>8.427274580204136</v>
      </c>
      <c r="F17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2-สมมติฐาน!B28),999)</f>
        <v>7.5535334726930978</v>
      </c>
      <c r="G17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2-สมมติฐาน!B28),999)</f>
        <v>6.8439515384566416</v>
      </c>
      <c r="H17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2-สมมติฐาน!B28),999)</f>
        <v>6.256238051312792</v>
      </c>
    </row>
    <row r="18" spans="1:8" ht="16.5" customHeight="1" x14ac:dyDescent="0.35">
      <c r="A18" s="21">
        <v>2.2000000000000002</v>
      </c>
      <c r="B18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2.2-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2.2-สมมติฐาน!B28),999)</f>
        <v>12.718619763551986</v>
      </c>
      <c r="C18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2.2-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2.2-สมมติฐาน!B28),999)</f>
        <v>10.828261258243957</v>
      </c>
      <c r="D18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2.2-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2.2-สมมติฐาน!B28),999)</f>
        <v>9.4271163328079002</v>
      </c>
      <c r="E18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2.2-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2.2-สมมติฐาน!B28),999)</f>
        <v>8.3470347644292087</v>
      </c>
      <c r="F18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2.2-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2.2-สมมติฐาน!B28),999)</f>
        <v>7.4890059650803327</v>
      </c>
      <c r="G18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2.2-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2.2-สมมติฐาน!B28),999)</f>
        <v>6.7909355224361461</v>
      </c>
      <c r="H18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2.2-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2.2-สมมติฐาน!B28),999)</f>
        <v>6.211906925409445</v>
      </c>
    </row>
    <row r="19" spans="1:8" ht="16.5" customHeight="1" x14ac:dyDescent="0.35">
      <c r="A19" s="21">
        <v>2.5</v>
      </c>
      <c r="B19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2.5-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2.5-สมมติฐาน!B28),999)</f>
        <v>12.44773038794944</v>
      </c>
      <c r="C19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2.5-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2.5-สมมติฐาน!B28),999)</f>
        <v>10.631288376169596</v>
      </c>
      <c r="D19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2.5-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2.5-สมมติฐาน!B28),999)</f>
        <v>9.2774685887567863</v>
      </c>
      <c r="E19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2.5-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2.5-สมมติฐาน!B28),999)</f>
        <v>8.2294996942645184</v>
      </c>
      <c r="F19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2.5-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2.5-สมมติฐาน!B28),999)</f>
        <v>7.3942556950815304</v>
      </c>
      <c r="G19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2.5-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2.5-สมมติฐาน!B28),999)</f>
        <v>6.7129338721373442</v>
      </c>
      <c r="H19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2.5-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2.5-สมมติฐาน!B28),999)</f>
        <v>6.1465758212289865</v>
      </c>
    </row>
    <row r="20" spans="1:8" ht="16.5" customHeight="1" x14ac:dyDescent="0.35">
      <c r="A20" s="21">
        <v>3</v>
      </c>
      <c r="B20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3-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3-สมมติฐาน!B28),999)</f>
        <v>12.021011610060748</v>
      </c>
      <c r="C20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3-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3-สมมติฐาน!B28),999)</f>
        <v>10.318456358928703</v>
      </c>
      <c r="D20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3-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3-สมมติฐาน!B28),999)</f>
        <v>9.0383414853568365</v>
      </c>
      <c r="E20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3-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3-สมมติฐาน!B28),999)</f>
        <v>8.0407948793226289</v>
      </c>
      <c r="F20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3-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3-สมมติฐาน!B28),999)</f>
        <v>7.2415564294074555</v>
      </c>
      <c r="G20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3-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3-สมมติฐาน!B28),999)</f>
        <v>6.5868382716749103</v>
      </c>
      <c r="H20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3-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3-สมมติฐาน!B28),999)</f>
        <v>6.0406917856425402</v>
      </c>
    </row>
    <row r="21" spans="1:8" ht="16.5" customHeight="1" x14ac:dyDescent="0.35">
      <c r="A21" s="21">
        <v>3.5</v>
      </c>
      <c r="B21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3.5-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+MAX(0,MAX(0,สมมติฐาน!B32-สมมติฐาน!B34)-(สมมติฐาน!B12*สมมติฐาน!B14))*365*3.5-สมมติฐาน!B28),999)</f>
        <v>11.622579699137363</v>
      </c>
      <c r="C21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3.5-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3.5+MAX(0,MAX(0,สมมติฐาน!B32-สมมติฐาน!B34)-(สมมติฐาน!B12*สมมติฐาน!B14))*365*3.5-สมมติฐาน!B28),999)</f>
        <v>10.023508624296751</v>
      </c>
      <c r="D21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3.5-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+MAX(0,MAX(0,สมมติฐาน!B32-สมมติฐาน!B34)-(สมมติฐาน!B12*สมมติฐาน!B14))*365*3.5-สมมติฐาน!B28),999)</f>
        <v>8.811231656501306</v>
      </c>
      <c r="E21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3.5-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4.5+MAX(0,MAX(0,สมมติฐาน!B32-สมมติฐาน!B34)-(สมมติฐาน!B12*สมมติฐาน!B14))*365*3.5-สมมติฐาน!B28),999)</f>
        <v>7.8605501836718101</v>
      </c>
      <c r="F21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3.5-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+MAX(0,MAX(0,สมมติฐาน!B32-สมมติฐาน!B34)-(สมมติฐาน!B12*สมมติฐาน!B14))*365*3.5-สมมติฐาน!B28),999)</f>
        <v>7.0950363620613555</v>
      </c>
      <c r="G21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3.5-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5.5+MAX(0,MAX(0,สมมติฐาน!B32-สมมติฐาน!B34)-(สมมติฐาน!B12*สมมติฐาน!B14))*365*3.5-สมมติฐาน!B28),999)</f>
        <v>6.46539248315427</v>
      </c>
      <c r="H21" s="20">
        <f>IF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3.5-สมมติฐาน!B28&gt;0,(สมมติฐาน!B5+สมมติฐาน!B13)/((MIN(สมมติฐาน!B32,สมมติฐาน!B34)+MIN(สมมติฐาน!B35,MIN(MAX(0,สมมติฐาน!B32-สมมติฐาน!B34),(สมมติฐาน!B12*สมมติฐาน!B14))*สมมติฐาน!B15))*365*6+MAX(0,MAX(0,สมมติฐาน!B32-สมมติฐาน!B34)-(สมมติฐาน!B12*สมมติฐาน!B14))*365*3.5-สมมติฐาน!B28),999)</f>
        <v>5.9383939958693643</v>
      </c>
    </row>
    <row r="23" spans="1:8" ht="15" customHeight="1" x14ac:dyDescent="0.35">
      <c r="A23" s="41" t="s">
        <v>89</v>
      </c>
      <c r="B23" s="41"/>
      <c r="C23" s="41"/>
      <c r="D23" s="41"/>
      <c r="E23" s="41"/>
      <c r="F23" s="41"/>
      <c r="G23" s="41"/>
      <c r="H23" s="41"/>
    </row>
    <row r="24" spans="1:8" ht="15" customHeight="1" x14ac:dyDescent="0.35">
      <c r="A24" s="6" t="s">
        <v>87</v>
      </c>
      <c r="B24" s="22">
        <v>3</v>
      </c>
      <c r="C24" s="22">
        <v>3.5</v>
      </c>
      <c r="D24" s="22">
        <v>4</v>
      </c>
      <c r="E24" s="22">
        <v>4.5</v>
      </c>
      <c r="F24" s="22">
        <v>5</v>
      </c>
      <c r="G24" s="22">
        <v>5.5</v>
      </c>
      <c r="H24" s="22">
        <v>6</v>
      </c>
    </row>
    <row r="25" spans="1:8" ht="16.5" customHeight="1" x14ac:dyDescent="0.35">
      <c r="A25" s="22">
        <v>1</v>
      </c>
      <c r="B25" s="20">
        <f t="shared" ref="B25:H31" si="0">IF(OR(B15=999,B5=999),"N/A",B15-B5)</f>
        <v>-5.6503587962518864E-2</v>
      </c>
      <c r="C25" s="20">
        <f t="shared" si="0"/>
        <v>-0.47677307587019158</v>
      </c>
      <c r="D25" s="20">
        <f t="shared" si="0"/>
        <v>-0.69575324053909426</v>
      </c>
      <c r="E25" s="20">
        <f t="shared" si="0"/>
        <v>-0.80991784074559448</v>
      </c>
      <c r="F25" s="20">
        <f t="shared" si="0"/>
        <v>-0.86623294305266718</v>
      </c>
      <c r="G25" s="20">
        <f t="shared" si="0"/>
        <v>-0.88932245416151723</v>
      </c>
      <c r="H25" s="20">
        <f t="shared" si="0"/>
        <v>-0.89284222933289392</v>
      </c>
    </row>
    <row r="26" spans="1:8" ht="16.5" customHeight="1" x14ac:dyDescent="0.35">
      <c r="A26" s="22">
        <v>1.5</v>
      </c>
      <c r="B26" s="20">
        <f t="shared" si="0"/>
        <v>2.0610113071269396</v>
      </c>
      <c r="C26" s="20">
        <f t="shared" si="0"/>
        <v>1.2028045477615699</v>
      </c>
      <c r="D26" s="20">
        <f t="shared" si="0"/>
        <v>0.66608499022169632</v>
      </c>
      <c r="E26" s="20">
        <f t="shared" si="0"/>
        <v>0.31525792598443125</v>
      </c>
      <c r="F26" s="20">
        <f t="shared" si="0"/>
        <v>7.8404916465114383E-2</v>
      </c>
      <c r="G26" s="20">
        <f t="shared" si="0"/>
        <v>-8.5334407918289834E-2</v>
      </c>
      <c r="H26" s="20">
        <f t="shared" si="0"/>
        <v>-0.2004578335382261</v>
      </c>
    </row>
    <row r="27" spans="1:8" ht="16.5" customHeight="1" x14ac:dyDescent="0.35">
      <c r="A27" s="22">
        <v>2</v>
      </c>
      <c r="B27" s="20">
        <f t="shared" si="0"/>
        <v>3.3736439026460125</v>
      </c>
      <c r="C27" s="20">
        <f t="shared" si="0"/>
        <v>2.3112226236636122</v>
      </c>
      <c r="D27" s="20">
        <f t="shared" si="0"/>
        <v>1.6082196716467063</v>
      </c>
      <c r="E27" s="20">
        <f t="shared" si="0"/>
        <v>1.123067898207653</v>
      </c>
      <c r="F27" s="20">
        <f t="shared" si="0"/>
        <v>0.77727547294407007</v>
      </c>
      <c r="G27" s="20">
        <f t="shared" si="0"/>
        <v>0.52446645946307768</v>
      </c>
      <c r="H27" s="20">
        <f t="shared" si="0"/>
        <v>0.33583458678039424</v>
      </c>
    </row>
    <row r="28" spans="1:8" ht="16.5" customHeight="1" x14ac:dyDescent="0.35">
      <c r="A28" s="22">
        <v>2.2000000000000002</v>
      </c>
      <c r="B28" s="20">
        <f t="shared" si="0"/>
        <v>3.757302781856307</v>
      </c>
      <c r="C28" s="20">
        <f t="shared" si="0"/>
        <v>2.6487977704601366</v>
      </c>
      <c r="D28" s="20">
        <f t="shared" si="0"/>
        <v>1.9040246207472693</v>
      </c>
      <c r="E28" s="20">
        <f t="shared" si="0"/>
        <v>1.3827974129028799</v>
      </c>
      <c r="F28" s="20">
        <f t="shared" si="0"/>
        <v>1.0063351046858502</v>
      </c>
      <c r="G28" s="20">
        <f t="shared" si="0"/>
        <v>0.72753934686714139</v>
      </c>
      <c r="H28" s="20">
        <f t="shared" si="0"/>
        <v>0.5168458089665382</v>
      </c>
    </row>
    <row r="29" spans="1:8" ht="16.5" customHeight="1" x14ac:dyDescent="0.35">
      <c r="A29" s="22">
        <v>2.5</v>
      </c>
      <c r="B29" s="20">
        <f t="shared" si="0"/>
        <v>4.225110569912971</v>
      </c>
      <c r="C29" s="20">
        <f t="shared" si="0"/>
        <v>3.0717041533018543</v>
      </c>
      <c r="D29" s="20">
        <f t="shared" si="0"/>
        <v>2.2819703214380702</v>
      </c>
      <c r="E29" s="20">
        <f t="shared" si="0"/>
        <v>1.7197501387960274</v>
      </c>
      <c r="F29" s="20">
        <f t="shared" si="0"/>
        <v>1.3071766475966777</v>
      </c>
      <c r="G29" s="20">
        <f t="shared" si="0"/>
        <v>0.99698478642457022</v>
      </c>
      <c r="H29" s="20">
        <f t="shared" si="0"/>
        <v>0.75910169856418186</v>
      </c>
    </row>
    <row r="30" spans="1:8" ht="16.5" customHeight="1" x14ac:dyDescent="0.35">
      <c r="A30" s="22">
        <v>3</v>
      </c>
      <c r="B30" s="20">
        <f t="shared" si="0"/>
        <v>4.7916120518573884</v>
      </c>
      <c r="C30" s="20">
        <f t="shared" si="0"/>
        <v>3.6066298720726966</v>
      </c>
      <c r="D30" s="20">
        <f t="shared" si="0"/>
        <v>2.7749302460133345</v>
      </c>
      <c r="E30" s="20">
        <f t="shared" si="0"/>
        <v>2.1696342378439661</v>
      </c>
      <c r="F30" s="20">
        <f t="shared" si="0"/>
        <v>1.7164119059511709</v>
      </c>
      <c r="G30" s="20">
        <f t="shared" si="0"/>
        <v>1.3691949072611704</v>
      </c>
      <c r="H30" s="20">
        <f t="shared" si="0"/>
        <v>1.0981262280021573</v>
      </c>
    </row>
    <row r="31" spans="1:8" ht="16.5" customHeight="1" x14ac:dyDescent="0.35">
      <c r="A31" s="22">
        <v>3.5</v>
      </c>
      <c r="B31" s="20">
        <f t="shared" si="0"/>
        <v>5.172315417475823</v>
      </c>
      <c r="C31" s="20">
        <f t="shared" si="0"/>
        <v>3.9884718832165911</v>
      </c>
      <c r="D31" s="20">
        <f t="shared" si="0"/>
        <v>3.1411962187798199</v>
      </c>
      <c r="E31" s="20">
        <f t="shared" si="0"/>
        <v>2.5138831869639704</v>
      </c>
      <c r="F31" s="20">
        <f t="shared" si="0"/>
        <v>2.0368437292252546</v>
      </c>
      <c r="G31" s="20">
        <f t="shared" si="0"/>
        <v>1.666139033690853</v>
      </c>
      <c r="H31" s="20">
        <f t="shared" si="0"/>
        <v>1.3728595535620789</v>
      </c>
    </row>
    <row r="32" spans="1:8" ht="21" customHeight="1" x14ac:dyDescent="0.35"/>
    <row r="33" spans="1:8" ht="21" customHeight="1" x14ac:dyDescent="0.35">
      <c r="A33" s="36" t="s">
        <v>90</v>
      </c>
      <c r="B33" s="36"/>
      <c r="C33" s="36"/>
      <c r="D33" s="36"/>
      <c r="E33" s="36"/>
      <c r="F33" s="36"/>
      <c r="G33" s="36"/>
      <c r="H33" s="36"/>
    </row>
    <row r="34" spans="1:8" ht="22" customHeight="1" x14ac:dyDescent="0.35">
      <c r="A34" s="36"/>
      <c r="B34" s="36"/>
      <c r="C34" s="36"/>
      <c r="D34" s="36"/>
      <c r="E34" s="36"/>
      <c r="F34" s="36"/>
      <c r="G34" s="36"/>
      <c r="H34" s="36"/>
    </row>
    <row r="35" spans="1:8" ht="15" customHeight="1" x14ac:dyDescent="0.35">
      <c r="A35" s="36"/>
      <c r="B35" s="36"/>
      <c r="C35" s="36"/>
      <c r="D35" s="36"/>
      <c r="E35" s="36"/>
      <c r="F35" s="36"/>
      <c r="G35" s="36"/>
      <c r="H35" s="36"/>
    </row>
  </sheetData>
  <mergeCells count="5">
    <mergeCell ref="A1:I1"/>
    <mergeCell ref="A3:H3"/>
    <mergeCell ref="A13:H13"/>
    <mergeCell ref="A23:H23"/>
    <mergeCell ref="A33:H35"/>
  </mergeCells>
  <conditionalFormatting sqref="B5:H11">
    <cfRule type="cellIs" dxfId="7" priority="2" operator="lessThan">
      <formula>8</formula>
    </cfRule>
    <cfRule type="cellIs" dxfId="6" priority="3" operator="between">
      <formula>8</formula>
      <formula>12</formula>
    </cfRule>
    <cfRule type="cellIs" dxfId="5" priority="4" operator="greaterThan">
      <formula>12</formula>
    </cfRule>
  </conditionalFormatting>
  <conditionalFormatting sqref="B15:H21">
    <cfRule type="cellIs" dxfId="4" priority="5" operator="lessThan">
      <formula>8</formula>
    </cfRule>
    <cfRule type="cellIs" dxfId="3" priority="6" operator="between">
      <formula>8</formula>
      <formula>12</formula>
    </cfRule>
    <cfRule type="cellIs" dxfId="2" priority="7" operator="greaterThan">
      <formula>12</formula>
    </cfRule>
  </conditionalFormatting>
  <conditionalFormatting sqref="B25:H31">
    <cfRule type="cellIs" dxfId="1" priority="8" operator="greaterThan">
      <formula>0</formula>
    </cfRule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topLeftCell="A2" zoomScaleNormal="100" workbookViewId="0">
      <selection activeCell="G13" sqref="G13"/>
    </sheetView>
  </sheetViews>
  <sheetFormatPr defaultColWidth="8.6328125" defaultRowHeight="14.5" x14ac:dyDescent="0.35"/>
  <cols>
    <col min="1" max="1" width="32" customWidth="1"/>
    <col min="2" max="4" width="18" customWidth="1"/>
    <col min="5" max="5" width="34" customWidth="1"/>
  </cols>
  <sheetData>
    <row r="1" spans="1:5" ht="24" customHeight="1" x14ac:dyDescent="0.35">
      <c r="A1" s="37" t="s">
        <v>91</v>
      </c>
      <c r="B1" s="37"/>
      <c r="C1" s="37"/>
      <c r="D1" s="37"/>
      <c r="E1" s="37"/>
    </row>
    <row r="3" spans="1:5" ht="30" customHeight="1" x14ac:dyDescent="0.35">
      <c r="A3" s="23" t="s">
        <v>92</v>
      </c>
      <c r="B3" s="23" t="s">
        <v>93</v>
      </c>
      <c r="C3" s="23" t="s">
        <v>94</v>
      </c>
      <c r="D3" s="23" t="s">
        <v>95</v>
      </c>
      <c r="E3" s="23" t="s">
        <v>96</v>
      </c>
    </row>
    <row r="4" spans="1:5" ht="18" customHeight="1" x14ac:dyDescent="0.35">
      <c r="A4" s="15" t="s">
        <v>97</v>
      </c>
      <c r="B4" s="24">
        <f>สมมติฐาน!B5</f>
        <v>135000</v>
      </c>
      <c r="C4" s="25">
        <f>สมมติฐาน!B5+สมมติฐาน!B13</f>
        <v>215000</v>
      </c>
      <c r="D4" s="26" t="s">
        <v>98</v>
      </c>
      <c r="E4" s="3" t="s">
        <v>99</v>
      </c>
    </row>
    <row r="5" spans="1:5" ht="18" customHeight="1" x14ac:dyDescent="0.35">
      <c r="A5" s="27" t="s">
        <v>100</v>
      </c>
      <c r="B5" s="24">
        <f>สมมติฐาน!B32*365</f>
        <v>7391.25</v>
      </c>
      <c r="C5" s="25">
        <f>สมมติฐาน!B32*365</f>
        <v>7391.25</v>
      </c>
      <c r="D5" s="26" t="s">
        <v>101</v>
      </c>
      <c r="E5" s="3"/>
    </row>
    <row r="6" spans="1:5" ht="18" customHeight="1" x14ac:dyDescent="0.35">
      <c r="A6" s="15" t="s">
        <v>102</v>
      </c>
      <c r="B6" s="24">
        <f>สมมติฐาน!B38*365</f>
        <v>2880</v>
      </c>
      <c r="C6" s="25">
        <f>(สมมติฐาน!B38+MIN(สมมติฐาน!B35,สมมติฐาน!B44*สมมติฐาน!B15))*365</f>
        <v>5902.2</v>
      </c>
      <c r="D6" s="26" t="s">
        <v>101</v>
      </c>
      <c r="E6" s="3" t="s">
        <v>103</v>
      </c>
    </row>
    <row r="7" spans="1:5" ht="18" customHeight="1" x14ac:dyDescent="0.35">
      <c r="A7" s="27" t="s">
        <v>104</v>
      </c>
      <c r="B7" s="24">
        <f>สมมติฐาน!B39*365</f>
        <v>4511.25</v>
      </c>
      <c r="C7" s="25">
        <f>สมมติฐาน!B45*365</f>
        <v>1226.2500000000002</v>
      </c>
      <c r="D7" s="26" t="s">
        <v>101</v>
      </c>
      <c r="E7" s="3" t="s">
        <v>105</v>
      </c>
    </row>
    <row r="8" spans="1:5" ht="18" customHeight="1" x14ac:dyDescent="0.35">
      <c r="A8" s="15" t="s">
        <v>106</v>
      </c>
      <c r="B8" s="24">
        <f>สมมติฐาน!B38*365*สมมติฐาน!B21+สมมติฐาน!B39*365*สมมติฐาน!B25</f>
        <v>22884.75</v>
      </c>
      <c r="C8" s="25">
        <f>(สมมติฐาน!B38+MIN(สมมติฐาน!B35,สมมติฐาน!B44*สมมติฐาน!B15))*365*สมมติฐาน!B21+สมมติฐาน!B45*365*สมมติฐาน!B25</f>
        <v>29257.649999999998</v>
      </c>
      <c r="D8" s="26">
        <f>-สมมติฐาน!B33*365*สมมติฐาน!B21</f>
        <v>-32400</v>
      </c>
      <c r="E8" s="3"/>
    </row>
    <row r="9" spans="1:5" ht="18" customHeight="1" x14ac:dyDescent="0.35">
      <c r="A9" s="28" t="s">
        <v>107</v>
      </c>
      <c r="B9" s="29">
        <f>กระแสเงินสด!B36</f>
        <v>5.5359677751465268</v>
      </c>
      <c r="C9" s="30">
        <f>กระแสเงินสด!I36</f>
        <v>5.8119615706891894</v>
      </c>
      <c r="D9" s="31" t="s">
        <v>108</v>
      </c>
      <c r="E9" s="3" t="s">
        <v>109</v>
      </c>
    </row>
    <row r="10" spans="1:5" ht="18" customHeight="1" x14ac:dyDescent="0.35">
      <c r="A10" s="27" t="s">
        <v>84</v>
      </c>
      <c r="B10" s="24">
        <f>กระแสเงินสด!B37</f>
        <v>198769.79882744164</v>
      </c>
      <c r="C10" s="25">
        <f>กระแสเงินสด!I37</f>
        <v>204787.81480848405</v>
      </c>
      <c r="D10" s="26" t="s">
        <v>101</v>
      </c>
      <c r="E10" s="3"/>
    </row>
    <row r="13" spans="1:5" ht="109.5" customHeight="1" x14ac:dyDescent="0.35">
      <c r="A13" s="42" t="s">
        <v>110</v>
      </c>
      <c r="B13" s="42"/>
      <c r="C13" s="42"/>
      <c r="D13" s="42"/>
      <c r="E13" s="42"/>
    </row>
    <row r="14" spans="1:5" ht="15" customHeight="1" x14ac:dyDescent="0.35">
      <c r="A14" s="42"/>
      <c r="B14" s="42"/>
      <c r="C14" s="42"/>
      <c r="D14" s="42"/>
      <c r="E14" s="42"/>
    </row>
    <row r="15" spans="1:5" ht="15" customHeight="1" x14ac:dyDescent="0.35">
      <c r="A15" s="42"/>
      <c r="B15" s="42"/>
      <c r="C15" s="42"/>
      <c r="D15" s="42"/>
      <c r="E15" s="42"/>
    </row>
    <row r="16" spans="1:5" ht="15" customHeight="1" x14ac:dyDescent="0.35">
      <c r="A16" s="42"/>
      <c r="B16" s="42"/>
      <c r="C16" s="42"/>
      <c r="D16" s="42"/>
      <c r="E16" s="42"/>
    </row>
    <row r="17" spans="1:5" ht="15" customHeight="1" x14ac:dyDescent="0.35">
      <c r="A17" s="42"/>
      <c r="B17" s="42"/>
      <c r="C17" s="42"/>
      <c r="D17" s="42"/>
      <c r="E17" s="42"/>
    </row>
    <row r="18" spans="1:5" ht="15" customHeight="1" x14ac:dyDescent="0.35">
      <c r="A18" s="42"/>
      <c r="B18" s="42"/>
      <c r="C18" s="42"/>
      <c r="D18" s="42"/>
      <c r="E18" s="42"/>
    </row>
    <row r="19" spans="1:5" ht="15" customHeight="1" x14ac:dyDescent="0.35">
      <c r="A19" s="42"/>
      <c r="B19" s="42"/>
      <c r="C19" s="42"/>
      <c r="D19" s="42"/>
      <c r="E19" s="42"/>
    </row>
  </sheetData>
  <mergeCells count="2">
    <mergeCell ref="A1:E1"/>
    <mergeCell ref="A13:E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สมมติฐาน</vt:lpstr>
      <vt:lpstr>กระแสเงินสด</vt:lpstr>
      <vt:lpstr>Sensitivity</vt:lpstr>
      <vt:lpstr>สรุปแนะนำ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Pichavee Vongvikkan</cp:lastModifiedBy>
  <cp:revision>0</cp:revision>
  <dcterms:created xsi:type="dcterms:W3CDTF">2026-05-04T06:57:33Z</dcterms:created>
  <dcterms:modified xsi:type="dcterms:W3CDTF">2026-05-07T08:08:57Z</dcterms:modified>
  <dc:language>en-US</dc:language>
</cp:coreProperties>
</file>